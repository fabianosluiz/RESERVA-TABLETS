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5"/>
    <sheet state="visible" name="Estoque" sheetId="2" r:id="rId6"/>
  </sheets>
  <definedNames>
    <definedName hidden="1" localSheetId="0" name="_xlnm._FilterDatabase">Reservas!$C$1:$C$987</definedName>
  </definedNames>
  <calcPr/>
</workbook>
</file>

<file path=xl/sharedStrings.xml><?xml version="1.0" encoding="utf-8"?>
<sst xmlns="http://schemas.openxmlformats.org/spreadsheetml/2006/main" count="1442" uniqueCount="347">
  <si>
    <t xml:space="preserve">Nome </t>
  </si>
  <si>
    <t xml:space="preserve">Turma </t>
  </si>
  <si>
    <t>Data</t>
  </si>
  <si>
    <t>Horário de retirada</t>
  </si>
  <si>
    <t>Horário de devolução</t>
  </si>
  <si>
    <t>Atividade</t>
  </si>
  <si>
    <t>Quantidade solicitada</t>
  </si>
  <si>
    <t>Retirada</t>
  </si>
  <si>
    <t>Quantidade devolvida</t>
  </si>
  <si>
    <t>Disponibilidade atual</t>
  </si>
  <si>
    <t>Leonardo</t>
  </si>
  <si>
    <t>WU80</t>
  </si>
  <si>
    <t>Avaliação prática - paquímetro</t>
  </si>
  <si>
    <t>Rosandro</t>
  </si>
  <si>
    <t>WM77</t>
  </si>
  <si>
    <t>Prática em laboratório</t>
  </si>
  <si>
    <t>Mariel</t>
  </si>
  <si>
    <t>MQ78</t>
  </si>
  <si>
    <t>Pesquisa experimentos</t>
  </si>
  <si>
    <t>Ricardo</t>
  </si>
  <si>
    <t>MT75</t>
  </si>
  <si>
    <t xml:space="preserve">João Paulo </t>
  </si>
  <si>
    <t>ME</t>
  </si>
  <si>
    <t>Leitura de manual e Parametros CFW</t>
  </si>
  <si>
    <t>Vinicius Siqueira</t>
  </si>
  <si>
    <t>ME79</t>
  </si>
  <si>
    <t xml:space="preserve">Atividades em sala de aula </t>
  </si>
  <si>
    <t>Girleida Rocha</t>
  </si>
  <si>
    <t>MT78</t>
  </si>
  <si>
    <t>Vagner Vicentini</t>
  </si>
  <si>
    <t>OPME</t>
  </si>
  <si>
    <t>Atividade em sala de aula</t>
  </si>
  <si>
    <t>ok</t>
  </si>
  <si>
    <t>Jean C silva</t>
  </si>
  <si>
    <t>WU79</t>
  </si>
  <si>
    <t>Atividade CNC</t>
  </si>
  <si>
    <t xml:space="preserve">William </t>
  </si>
  <si>
    <t>MM77</t>
  </si>
  <si>
    <t>Atividade no Laboratório</t>
  </si>
  <si>
    <t>Jairo</t>
  </si>
  <si>
    <t>ME 79</t>
  </si>
  <si>
    <t>Jailson</t>
  </si>
  <si>
    <t>MM76</t>
  </si>
  <si>
    <t>Karina</t>
  </si>
  <si>
    <t>Pesquisa</t>
  </si>
  <si>
    <t>Atividade: Elaboração de Trabalho</t>
  </si>
  <si>
    <t>MT 75</t>
  </si>
  <si>
    <t>Atividade Pratica</t>
  </si>
  <si>
    <t>Lucas</t>
  </si>
  <si>
    <t>MI 80</t>
  </si>
  <si>
    <t>Avaliação banca (apresentação)</t>
  </si>
  <si>
    <t xml:space="preserve">ok </t>
  </si>
  <si>
    <t>Lucas Santos</t>
  </si>
  <si>
    <t>MA 77</t>
  </si>
  <si>
    <t>Pesquisa Aplicada</t>
  </si>
  <si>
    <t xml:space="preserve">João </t>
  </si>
  <si>
    <t>Mt 76</t>
  </si>
  <si>
    <t>Augusto</t>
  </si>
  <si>
    <t>MA 78</t>
  </si>
  <si>
    <t>jairo</t>
  </si>
  <si>
    <t>ME 78</t>
  </si>
  <si>
    <t>pesquisa</t>
  </si>
  <si>
    <t>William</t>
  </si>
  <si>
    <t>Atividade Laboratório</t>
  </si>
  <si>
    <t>Douglas</t>
  </si>
  <si>
    <t xml:space="preserve">Atividade labiratório </t>
  </si>
  <si>
    <t>ME 76</t>
  </si>
  <si>
    <t xml:space="preserve">Consulta de Manual </t>
  </si>
  <si>
    <t>Resposta a formulário</t>
  </si>
  <si>
    <t>MM 76</t>
  </si>
  <si>
    <t>José</t>
  </si>
  <si>
    <t>VR</t>
  </si>
  <si>
    <t>Apresentação</t>
  </si>
  <si>
    <t>WME77</t>
  </si>
  <si>
    <t xml:space="preserve">Jairo </t>
  </si>
  <si>
    <t>MF 78</t>
  </si>
  <si>
    <t xml:space="preserve">Atividades </t>
  </si>
  <si>
    <t>WME78</t>
  </si>
  <si>
    <t>Workshop</t>
  </si>
  <si>
    <t>Ramon</t>
  </si>
  <si>
    <t xml:space="preserve">Carlos </t>
  </si>
  <si>
    <t>MI78</t>
  </si>
  <si>
    <t>sniffer rede sem fio</t>
  </si>
  <si>
    <t>Consulta de exercícios</t>
  </si>
  <si>
    <t xml:space="preserve">VR </t>
  </si>
  <si>
    <t>Manual inversor</t>
  </si>
  <si>
    <t>MA77</t>
  </si>
  <si>
    <t>GitHub</t>
  </si>
  <si>
    <t>Possamai</t>
  </si>
  <si>
    <t>-</t>
  </si>
  <si>
    <t>Atividades dele</t>
  </si>
  <si>
    <t>Willer</t>
  </si>
  <si>
    <t>WU 78</t>
  </si>
  <si>
    <t xml:space="preserve">OPME </t>
  </si>
  <si>
    <t>Rossandro</t>
  </si>
  <si>
    <t xml:space="preserve">Laboratório </t>
  </si>
  <si>
    <t>WQ77</t>
  </si>
  <si>
    <t xml:space="preserve"> </t>
  </si>
  <si>
    <t>Andre Stuy</t>
  </si>
  <si>
    <t>MM79</t>
  </si>
  <si>
    <t>ME 77</t>
  </si>
  <si>
    <t>atividade</t>
  </si>
  <si>
    <t xml:space="preserve">1 ok  </t>
  </si>
  <si>
    <t>Daniela</t>
  </si>
  <si>
    <t>WM 77</t>
  </si>
  <si>
    <t>Aplicação formulário</t>
  </si>
  <si>
    <t>12 ok</t>
  </si>
  <si>
    <t>Francini</t>
  </si>
  <si>
    <t>CentroWEG</t>
  </si>
  <si>
    <t>Teste menores aprendizes</t>
  </si>
  <si>
    <t xml:space="preserve">ok 2 </t>
  </si>
  <si>
    <t>Rogério</t>
  </si>
  <si>
    <t>ME 75</t>
  </si>
  <si>
    <t>Atividade em laboratório</t>
  </si>
  <si>
    <t xml:space="preserve">Ricardo </t>
  </si>
  <si>
    <t>MT77</t>
  </si>
  <si>
    <t>Feedback</t>
  </si>
  <si>
    <t>ME76</t>
  </si>
  <si>
    <t xml:space="preserve">RevisãoAcionamentos </t>
  </si>
  <si>
    <t>Vanessa WEG</t>
  </si>
  <si>
    <t>Entregue - Tissi</t>
  </si>
  <si>
    <t>Pesquisa e leitura de norma</t>
  </si>
  <si>
    <t>Tiago Massoco</t>
  </si>
  <si>
    <t>Atividades de revisão</t>
  </si>
  <si>
    <t>MT76</t>
  </si>
  <si>
    <t>Relatorio</t>
  </si>
  <si>
    <t>Renata</t>
  </si>
  <si>
    <t>TMMW</t>
  </si>
  <si>
    <t>Gabriela (subst. Renata)</t>
  </si>
  <si>
    <t xml:space="preserve">WU 80 </t>
  </si>
  <si>
    <t>Bianca</t>
  </si>
  <si>
    <t>OPWU</t>
  </si>
  <si>
    <t>teste diagnóstico</t>
  </si>
  <si>
    <t>Jadson</t>
  </si>
  <si>
    <t>ME78</t>
  </si>
  <si>
    <t>Relatório</t>
  </si>
  <si>
    <t>Renata/Gabriela</t>
  </si>
  <si>
    <t xml:space="preserve">Jean </t>
  </si>
  <si>
    <t>wu 79</t>
  </si>
  <si>
    <t>OPWQ</t>
  </si>
  <si>
    <t>Atividades online</t>
  </si>
  <si>
    <t>TMEW</t>
  </si>
  <si>
    <t>WME 77</t>
  </si>
  <si>
    <t>TIIN</t>
  </si>
  <si>
    <t>Atividade na 201</t>
  </si>
  <si>
    <t>Douglas Knapik</t>
  </si>
  <si>
    <t>Atividade em Laboratório</t>
  </si>
  <si>
    <t>ME77</t>
  </si>
  <si>
    <t>Atividade Online</t>
  </si>
  <si>
    <t xml:space="preserve">Atividade em laboratório </t>
  </si>
  <si>
    <t>Jean</t>
  </si>
  <si>
    <t>MF 77 / MI 79</t>
  </si>
  <si>
    <t>MA78</t>
  </si>
  <si>
    <t>Atividade e normativa</t>
  </si>
  <si>
    <t>Atividade em Laboratorio</t>
  </si>
  <si>
    <t>MM 77</t>
  </si>
  <si>
    <t>Douglas Copetti</t>
  </si>
  <si>
    <t>Atividade dePesquisa</t>
  </si>
  <si>
    <t>Atividade de Pesquisa</t>
  </si>
  <si>
    <t>Atividade de pesquisa</t>
  </si>
  <si>
    <t xml:space="preserve">Douglas </t>
  </si>
  <si>
    <t>Trabalho prático</t>
  </si>
  <si>
    <t>Jean Silva</t>
  </si>
  <si>
    <t xml:space="preserve">Atividade de laboratório </t>
  </si>
  <si>
    <t>Aividade em Laboratório</t>
  </si>
  <si>
    <t>João</t>
  </si>
  <si>
    <t>Prática de desmontagem</t>
  </si>
  <si>
    <t>WA77</t>
  </si>
  <si>
    <t>Banco de Dados</t>
  </si>
  <si>
    <t xml:space="preserve">Jairo Nunes </t>
  </si>
  <si>
    <t>Pesquisa ESG</t>
  </si>
  <si>
    <t>Atividade em laboratóro</t>
  </si>
  <si>
    <t>MM78</t>
  </si>
  <si>
    <t>Falta de computador</t>
  </si>
  <si>
    <t>MT79</t>
  </si>
  <si>
    <t>Apresentações e dinâmica</t>
  </si>
  <si>
    <t>Atividade  em Laboratorio</t>
  </si>
  <si>
    <t>Versionamento GitHub</t>
  </si>
  <si>
    <t xml:space="preserve">Atividade em Laboratório </t>
  </si>
  <si>
    <t>Lista de exercícios</t>
  </si>
  <si>
    <t>Pesquisa Industria 4.0</t>
  </si>
  <si>
    <t>Vítor</t>
  </si>
  <si>
    <t>OPWU 2025/2</t>
  </si>
  <si>
    <t>MI79</t>
  </si>
  <si>
    <t>Computadores não funcionando</t>
  </si>
  <si>
    <t>Jairo Nunes dos Santos</t>
  </si>
  <si>
    <t>Atividade Laboratorio</t>
  </si>
  <si>
    <t>Thiago Meneghelli</t>
  </si>
  <si>
    <t>jailson dos Santos</t>
  </si>
  <si>
    <t>Consulta de lista de exercícios</t>
  </si>
  <si>
    <t>26/02/0225</t>
  </si>
  <si>
    <t>Douglas (Entregue 12)</t>
  </si>
  <si>
    <t xml:space="preserve">Atividade prática </t>
  </si>
  <si>
    <t>william</t>
  </si>
  <si>
    <t>Rogério Miotto</t>
  </si>
  <si>
    <t>Aplicar formulário</t>
  </si>
  <si>
    <t>Atividades em sala</t>
  </si>
  <si>
    <t xml:space="preserve">Pesquisa laboratório </t>
  </si>
  <si>
    <t>Moises</t>
  </si>
  <si>
    <t>MF77</t>
  </si>
  <si>
    <t>Atividade em Sala de aula</t>
  </si>
  <si>
    <t>Leitura de documentos</t>
  </si>
  <si>
    <t>Trabalho Prático</t>
  </si>
  <si>
    <t>Atividade em Sala de Aula</t>
  </si>
  <si>
    <t>Atvidade em Laboratório</t>
  </si>
  <si>
    <t>MF78</t>
  </si>
  <si>
    <t>Atividade em Aula</t>
  </si>
  <si>
    <t>Jairo Nunes</t>
  </si>
  <si>
    <t xml:space="preserve">MF77 </t>
  </si>
  <si>
    <t>Leitura de boletins</t>
  </si>
  <si>
    <t>Vinicius</t>
  </si>
  <si>
    <t>OPME77</t>
  </si>
  <si>
    <t xml:space="preserve">Atividade revisão </t>
  </si>
  <si>
    <t>Atividade em Laboratótio</t>
  </si>
  <si>
    <t xml:space="preserve">jairo </t>
  </si>
  <si>
    <t>atividade em laboratorio</t>
  </si>
  <si>
    <t>Atividdes online</t>
  </si>
  <si>
    <t>Auxilio Pedagógico ao docente</t>
  </si>
  <si>
    <t>jairo Nunes</t>
  </si>
  <si>
    <t>bianca</t>
  </si>
  <si>
    <t>MI 81</t>
  </si>
  <si>
    <t xml:space="preserve">Paulo </t>
  </si>
  <si>
    <t>Atividade 5's</t>
  </si>
  <si>
    <t>Curso WEG</t>
  </si>
  <si>
    <t>Zoz</t>
  </si>
  <si>
    <t>5s</t>
  </si>
  <si>
    <t>Binca</t>
  </si>
  <si>
    <t>Pesquisa projetos</t>
  </si>
  <si>
    <t xml:space="preserve">Willer </t>
  </si>
  <si>
    <t>Atividade em sala</t>
  </si>
  <si>
    <t>Paulo Ricardo Belarmino</t>
  </si>
  <si>
    <t>TTMEC</t>
  </si>
  <si>
    <t>Sala 203</t>
  </si>
  <si>
    <t>Sala 201</t>
  </si>
  <si>
    <t xml:space="preserve">Wesley </t>
  </si>
  <si>
    <t>MT 78</t>
  </si>
  <si>
    <t>Atividades</t>
  </si>
  <si>
    <t>atividade em Laboratório</t>
  </si>
  <si>
    <t>Atividade em sala (pc não funciona)</t>
  </si>
  <si>
    <t>Estudos sobre tintas</t>
  </si>
  <si>
    <t>Lucas Petroski</t>
  </si>
  <si>
    <t>Grand Prix Nacional</t>
  </si>
  <si>
    <t>João Pedro Valentim</t>
  </si>
  <si>
    <t>MI77</t>
  </si>
  <si>
    <t xml:space="preserve">Augusto </t>
  </si>
  <si>
    <t>wq 77</t>
  </si>
  <si>
    <t>Atividade Sala</t>
  </si>
  <si>
    <t>Jailso dos Santos</t>
  </si>
  <si>
    <r>
      <rPr>
        <rFont val="Arial"/>
        <color rgb="FF000000"/>
        <u/>
      </rPr>
      <t>T MTWE 2026/1 INT1</t>
    </r>
  </si>
  <si>
    <t>Atividades e Exercícios</t>
  </si>
  <si>
    <t>atividade laboratorio</t>
  </si>
  <si>
    <t>Pitch Elevator</t>
  </si>
  <si>
    <t>atividade Laboratorio</t>
  </si>
  <si>
    <t xml:space="preserve">WU 78 </t>
  </si>
  <si>
    <t>wq77</t>
  </si>
  <si>
    <t>MF79</t>
  </si>
  <si>
    <t>atividade sala de Aula</t>
  </si>
  <si>
    <t>Leonardo Borges</t>
  </si>
  <si>
    <t>MM 78</t>
  </si>
  <si>
    <t xml:space="preserve">Atividade em sala </t>
  </si>
  <si>
    <t>Ramon Malato</t>
  </si>
  <si>
    <t>AI MELT 2025</t>
  </si>
  <si>
    <t>Atividade no AVA</t>
  </si>
  <si>
    <t>Atividade laboratorio</t>
  </si>
  <si>
    <t>Mf 76</t>
  </si>
  <si>
    <t>Mf 78</t>
  </si>
  <si>
    <t xml:space="preserve">Prática de lab. de acionamentos </t>
  </si>
  <si>
    <t>MM 79</t>
  </si>
  <si>
    <t>Atividde sala de aula</t>
  </si>
  <si>
    <t>Paulo Belarmino</t>
  </si>
  <si>
    <t>Atividade sala de aula</t>
  </si>
  <si>
    <t>MF76</t>
  </si>
  <si>
    <t xml:space="preserve">Nikollas Analio Castagna Sprandio </t>
  </si>
  <si>
    <t xml:space="preserve">Atividade de pesquisa </t>
  </si>
  <si>
    <t>Jairo nunes</t>
  </si>
  <si>
    <t>MF 79</t>
  </si>
  <si>
    <t>sala de aula</t>
  </si>
  <si>
    <t>/</t>
  </si>
  <si>
    <t>Evidencias de prova prática</t>
  </si>
  <si>
    <t>Renan</t>
  </si>
  <si>
    <t>Atividade no laboratório</t>
  </si>
  <si>
    <t>WU78</t>
  </si>
  <si>
    <t>Apresentação e pesquisa</t>
  </si>
  <si>
    <t xml:space="preserve">Bianca </t>
  </si>
  <si>
    <t xml:space="preserve">Avaliação / atividade online </t>
  </si>
  <si>
    <t>Atividade no laboratorio</t>
  </si>
  <si>
    <t>Willer Rezende Motti</t>
  </si>
  <si>
    <t>MT 79</t>
  </si>
  <si>
    <t>Preparação Apresentação / Atividades</t>
  </si>
  <si>
    <t>Igor</t>
  </si>
  <si>
    <t>MI80</t>
  </si>
  <si>
    <t>Paulo Belarmino/Karina</t>
  </si>
  <si>
    <t>Atividade em ambiente virtual</t>
  </si>
  <si>
    <t>Consulta manual CFW</t>
  </si>
  <si>
    <t>Jailson dos Santos</t>
  </si>
  <si>
    <t>Atividade NR12</t>
  </si>
  <si>
    <t>MF 70</t>
  </si>
  <si>
    <t>ativdade sala 203</t>
  </si>
  <si>
    <t>Atividade laboratório</t>
  </si>
  <si>
    <t>Grand prix</t>
  </si>
  <si>
    <t>Projetos de tinta</t>
  </si>
  <si>
    <t>MF 77</t>
  </si>
  <si>
    <t>jairo nunes</t>
  </si>
  <si>
    <t>atividades de pesquisa</t>
  </si>
  <si>
    <t>08;00</t>
  </si>
  <si>
    <t xml:space="preserve">Uso na usinagem </t>
  </si>
  <si>
    <t>Geison</t>
  </si>
  <si>
    <t xml:space="preserve">ME </t>
  </si>
  <si>
    <t xml:space="preserve">Uso pelo professor </t>
  </si>
  <si>
    <t>MI 78</t>
  </si>
  <si>
    <t>Jadson Silva</t>
  </si>
  <si>
    <t>Atividade em lab</t>
  </si>
  <si>
    <t>Jean C. Silva</t>
  </si>
  <si>
    <t>Atividade sala Aula</t>
  </si>
  <si>
    <t>Uso em sala pelo professor</t>
  </si>
  <si>
    <t>MF 76</t>
  </si>
  <si>
    <t>Aula laboratório</t>
  </si>
  <si>
    <t>sala 203</t>
  </si>
  <si>
    <t>Catálogos em sala</t>
  </si>
  <si>
    <t>Atividade sala Aula 111</t>
  </si>
  <si>
    <t>Atividade em lab.</t>
  </si>
  <si>
    <t>atividade em Laboratorio</t>
  </si>
  <si>
    <t>WU81</t>
  </si>
  <si>
    <t>Recuperação paralela</t>
  </si>
  <si>
    <t>ME80</t>
  </si>
  <si>
    <t>atividades online</t>
  </si>
  <si>
    <t>Ademilson</t>
  </si>
  <si>
    <t xml:space="preserve">WQ 77 </t>
  </si>
  <si>
    <t>GrandPrix</t>
  </si>
  <si>
    <t>MI81</t>
  </si>
  <si>
    <t>zoz</t>
  </si>
  <si>
    <t>Nikollas</t>
  </si>
  <si>
    <t>Atividade sala de Aula</t>
  </si>
  <si>
    <t>AI OPME</t>
  </si>
  <si>
    <t>TTCPA</t>
  </si>
  <si>
    <t>Avaliação Objetiva no AVA</t>
  </si>
  <si>
    <t xml:space="preserve">WF 76 </t>
  </si>
  <si>
    <t>Jairo dos Santos</t>
  </si>
  <si>
    <t>WME 78</t>
  </si>
  <si>
    <t>Mm 79</t>
  </si>
  <si>
    <t xml:space="preserve">Mariel </t>
  </si>
  <si>
    <t>MQ 78</t>
  </si>
  <si>
    <t>laboratorio</t>
  </si>
  <si>
    <t>data</t>
  </si>
  <si>
    <t>quantidade reservada</t>
  </si>
  <si>
    <t>disponíveis</t>
  </si>
  <si>
    <t>Devolvido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</si>
</sst>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hh:mm"/>
    <numFmt numFmtId="166" formatCode="dd/mm/yyyy"/>
    <numFmt numFmtId="167" formatCode="d/m/yyyy"/>
    <numFmt numFmtId="168" formatCode="dd/mm/yy"/>
    <numFmt numFmtId="169" formatCode="dd/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Cabin"/>
    </font>
    <font>
      <color rgb="FF000000"/>
      <name val="Arial"/>
      <scheme val="minor"/>
    </font>
    <font>
      <u/>
      <color rgb="FF000000"/>
    </font>
    <font>
      <sz val="9.0"/>
      <color rgb="FF515C66"/>
      <name val="&quot;Open Sans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DFEFF"/>
        <bgColor rgb="FFFDFE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2" fillId="2" fontId="2" numFmtId="0" xfId="0" applyAlignment="1" applyBorder="1" applyFill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2" fillId="0" fontId="1" numFmtId="0" xfId="0" applyBorder="1" applyFont="1"/>
    <xf borderId="2" fillId="0" fontId="1" numFmtId="166" xfId="0" applyAlignment="1" applyBorder="1" applyFont="1" applyNumberFormat="1">
      <alignment readingOrder="0"/>
    </xf>
    <xf borderId="2" fillId="0" fontId="1" numFmtId="167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2" fillId="0" fontId="1" numFmtId="168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2" fillId="0" fontId="1" numFmtId="169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2" fillId="0" fontId="1" numFmtId="164" xfId="0" applyBorder="1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gn.sesisenai.org.br/pages/execucaoEducacao/execucao-educacao.html?idTurma=11026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4" max="4" width="14.88"/>
    <col customWidth="1" min="5" max="5" width="16.88"/>
    <col customWidth="1" min="6" max="6" width="22.63"/>
    <col customWidth="1" min="7" max="7" width="21.88"/>
    <col customWidth="1" min="8" max="8" width="17.13"/>
    <col customWidth="1" min="9" max="9" width="20.38"/>
    <col customWidth="1" min="10" max="10" width="2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>
        <f t="array" ref="K1">XLOOKUP(TODAY(),Estoque!A:A,Estoque!C:C)</f>
        <v>30</v>
      </c>
    </row>
    <row r="2" hidden="1">
      <c r="A2" s="2" t="s">
        <v>10</v>
      </c>
      <c r="B2" s="2" t="s">
        <v>11</v>
      </c>
      <c r="C2" s="6">
        <v>46002.0</v>
      </c>
      <c r="D2" s="7">
        <v>0.65625</v>
      </c>
      <c r="E2" s="8"/>
      <c r="F2" s="2" t="s">
        <v>12</v>
      </c>
      <c r="G2" s="2">
        <v>11.0</v>
      </c>
      <c r="H2" s="2">
        <v>11.0</v>
      </c>
      <c r="I2" s="8"/>
      <c r="J2" s="8"/>
    </row>
    <row r="3" hidden="1">
      <c r="A3" s="2" t="s">
        <v>13</v>
      </c>
      <c r="B3" s="2" t="s">
        <v>14</v>
      </c>
      <c r="C3" s="9">
        <v>45993.0</v>
      </c>
      <c r="D3" s="7">
        <v>0.3125</v>
      </c>
      <c r="E3" s="7">
        <v>0.5888888888888889</v>
      </c>
      <c r="F3" s="2" t="s">
        <v>15</v>
      </c>
      <c r="G3" s="2">
        <v>6.0</v>
      </c>
      <c r="H3" s="2"/>
      <c r="I3" s="2">
        <v>6.0</v>
      </c>
      <c r="J3" s="8"/>
    </row>
    <row r="4" hidden="1">
      <c r="A4" s="2" t="s">
        <v>16</v>
      </c>
      <c r="B4" s="2" t="s">
        <v>17</v>
      </c>
      <c r="C4" s="9">
        <v>45993.0</v>
      </c>
      <c r="D4" s="7">
        <v>0.5173611111111112</v>
      </c>
      <c r="E4" s="7">
        <v>0.6041666666666666</v>
      </c>
      <c r="F4" s="2" t="s">
        <v>18</v>
      </c>
      <c r="G4" s="2">
        <v>10.0</v>
      </c>
      <c r="H4" s="2"/>
      <c r="I4" s="2">
        <v>10.0</v>
      </c>
      <c r="J4" s="8"/>
    </row>
    <row r="5" hidden="1">
      <c r="A5" s="2" t="s">
        <v>19</v>
      </c>
      <c r="B5" s="2" t="s">
        <v>20</v>
      </c>
      <c r="C5" s="9">
        <v>45993.0</v>
      </c>
      <c r="D5" s="7">
        <v>0.5208333333333334</v>
      </c>
      <c r="E5" s="7">
        <v>0.6875</v>
      </c>
      <c r="F5" s="2" t="s">
        <v>18</v>
      </c>
      <c r="G5" s="2">
        <v>7.0</v>
      </c>
      <c r="H5" s="2"/>
      <c r="I5" s="2">
        <v>7.0</v>
      </c>
      <c r="J5" s="8"/>
    </row>
    <row r="6" hidden="1">
      <c r="A6" s="2" t="s">
        <v>21</v>
      </c>
      <c r="B6" s="2" t="s">
        <v>22</v>
      </c>
      <c r="C6" s="9">
        <v>45993.0</v>
      </c>
      <c r="D6" s="7">
        <v>0.5208333333333334</v>
      </c>
      <c r="E6" s="7">
        <v>0.6875</v>
      </c>
      <c r="F6" s="2" t="s">
        <v>23</v>
      </c>
      <c r="G6" s="2">
        <v>10.0</v>
      </c>
      <c r="H6" s="2"/>
      <c r="I6" s="2">
        <v>10.0</v>
      </c>
      <c r="J6" s="8"/>
    </row>
    <row r="7" hidden="1">
      <c r="A7" s="2" t="s">
        <v>24</v>
      </c>
      <c r="B7" s="2" t="s">
        <v>25</v>
      </c>
      <c r="C7" s="9">
        <v>45993.0</v>
      </c>
      <c r="D7" s="7">
        <v>0.6555555555555556</v>
      </c>
      <c r="E7" s="7">
        <v>0.7083333333333334</v>
      </c>
      <c r="F7" s="2" t="s">
        <v>26</v>
      </c>
      <c r="G7" s="2">
        <v>12.0</v>
      </c>
      <c r="H7" s="2"/>
      <c r="I7" s="2">
        <v>12.0</v>
      </c>
      <c r="J7" s="8"/>
    </row>
    <row r="8" hidden="1">
      <c r="A8" s="2" t="s">
        <v>27</v>
      </c>
      <c r="B8" s="2" t="s">
        <v>28</v>
      </c>
      <c r="C8" s="9">
        <v>45994.0</v>
      </c>
      <c r="D8" s="7">
        <v>0.3194444444444444</v>
      </c>
      <c r="E8" s="7">
        <v>0.4583333333333333</v>
      </c>
      <c r="F8" s="2" t="s">
        <v>26</v>
      </c>
      <c r="G8" s="2">
        <v>4.0</v>
      </c>
      <c r="H8" s="2"/>
      <c r="I8" s="2">
        <v>4.0</v>
      </c>
      <c r="J8" s="8"/>
    </row>
    <row r="9" hidden="1">
      <c r="A9" s="2" t="s">
        <v>29</v>
      </c>
      <c r="B9" s="2" t="s">
        <v>30</v>
      </c>
      <c r="C9" s="9">
        <v>45994.0</v>
      </c>
      <c r="D9" s="7">
        <v>0.6145833333333334</v>
      </c>
      <c r="E9" s="7">
        <v>0.7395833333333334</v>
      </c>
      <c r="F9" s="2" t="s">
        <v>31</v>
      </c>
      <c r="G9" s="2">
        <v>12.0</v>
      </c>
      <c r="H9" s="2" t="s">
        <v>32</v>
      </c>
      <c r="I9" s="2">
        <v>12.0</v>
      </c>
      <c r="J9" s="8"/>
    </row>
    <row r="10" hidden="1">
      <c r="A10" s="2" t="s">
        <v>33</v>
      </c>
      <c r="B10" s="2" t="s">
        <v>34</v>
      </c>
      <c r="C10" s="9">
        <v>45994.0</v>
      </c>
      <c r="D10" s="7">
        <v>0.75</v>
      </c>
      <c r="E10" s="7">
        <v>0.9166666666666666</v>
      </c>
      <c r="F10" s="2" t="s">
        <v>35</v>
      </c>
      <c r="G10" s="2">
        <v>6.0</v>
      </c>
      <c r="H10" s="2" t="s">
        <v>32</v>
      </c>
      <c r="I10" s="8"/>
      <c r="J10" s="8"/>
    </row>
    <row r="11" hidden="1">
      <c r="A11" s="2" t="s">
        <v>36</v>
      </c>
      <c r="B11" s="2" t="s">
        <v>37</v>
      </c>
      <c r="C11" s="9">
        <v>45994.0</v>
      </c>
      <c r="D11" s="7">
        <v>0.75</v>
      </c>
      <c r="E11" s="7">
        <v>0.875</v>
      </c>
      <c r="F11" s="2" t="s">
        <v>38</v>
      </c>
      <c r="G11" s="2">
        <v>12.0</v>
      </c>
      <c r="H11" s="2" t="s">
        <v>32</v>
      </c>
      <c r="I11" s="8"/>
      <c r="J11" s="8"/>
    </row>
    <row r="12" hidden="1">
      <c r="A12" s="2" t="s">
        <v>39</v>
      </c>
      <c r="B12" s="2" t="s">
        <v>40</v>
      </c>
      <c r="C12" s="9">
        <v>45994.0</v>
      </c>
      <c r="D12" s="7">
        <v>0.625</v>
      </c>
      <c r="E12" s="7">
        <v>0.8958333333333334</v>
      </c>
      <c r="F12" s="2" t="s">
        <v>31</v>
      </c>
      <c r="G12" s="2">
        <v>10.0</v>
      </c>
      <c r="H12" s="2" t="s">
        <v>32</v>
      </c>
      <c r="I12" s="8"/>
      <c r="J12" s="8"/>
    </row>
    <row r="13" hidden="1">
      <c r="A13" s="2" t="s">
        <v>41</v>
      </c>
      <c r="B13" s="2" t="s">
        <v>42</v>
      </c>
      <c r="C13" s="9">
        <v>45995.0</v>
      </c>
      <c r="D13" s="7">
        <v>0.3125</v>
      </c>
      <c r="E13" s="7"/>
      <c r="F13" s="2" t="s">
        <v>38</v>
      </c>
      <c r="G13" s="2">
        <v>10.0</v>
      </c>
      <c r="H13" s="2" t="s">
        <v>32</v>
      </c>
      <c r="I13" s="2" t="s">
        <v>32</v>
      </c>
      <c r="J13" s="8"/>
    </row>
    <row r="14" hidden="1">
      <c r="A14" s="2" t="s">
        <v>43</v>
      </c>
      <c r="B14" s="2" t="s">
        <v>17</v>
      </c>
      <c r="C14" s="9">
        <v>45995.0</v>
      </c>
      <c r="D14" s="7">
        <v>0.4340277777777778</v>
      </c>
      <c r="E14" s="7">
        <v>0.4583333333333333</v>
      </c>
      <c r="F14" s="2" t="s">
        <v>44</v>
      </c>
      <c r="G14" s="2">
        <v>1.0</v>
      </c>
      <c r="H14" s="2" t="s">
        <v>32</v>
      </c>
      <c r="I14" s="2" t="s">
        <v>32</v>
      </c>
      <c r="J14" s="8"/>
    </row>
    <row r="15" hidden="1">
      <c r="A15" s="2" t="s">
        <v>27</v>
      </c>
      <c r="B15" s="2" t="s">
        <v>28</v>
      </c>
      <c r="C15" s="9">
        <v>45995.0</v>
      </c>
      <c r="D15" s="7">
        <v>0.5104166666666666</v>
      </c>
      <c r="E15" s="7">
        <v>0.59375</v>
      </c>
      <c r="F15" s="2" t="s">
        <v>45</v>
      </c>
      <c r="G15" s="2">
        <v>2.0</v>
      </c>
      <c r="H15" s="2" t="s">
        <v>32</v>
      </c>
      <c r="I15" s="2" t="s">
        <v>32</v>
      </c>
      <c r="J15" s="8"/>
    </row>
    <row r="16" hidden="1">
      <c r="A16" s="2" t="s">
        <v>16</v>
      </c>
      <c r="B16" s="2" t="s">
        <v>17</v>
      </c>
      <c r="C16" s="10">
        <v>45995.0</v>
      </c>
      <c r="D16" s="7">
        <v>0.51875</v>
      </c>
      <c r="E16" s="7">
        <v>0.6041666666666666</v>
      </c>
      <c r="F16" s="2" t="s">
        <v>18</v>
      </c>
      <c r="G16" s="2">
        <v>10.0</v>
      </c>
      <c r="H16" s="2" t="s">
        <v>32</v>
      </c>
      <c r="I16" s="2">
        <v>10.0</v>
      </c>
      <c r="J16" s="8"/>
    </row>
    <row r="17" hidden="1">
      <c r="A17" s="2" t="s">
        <v>19</v>
      </c>
      <c r="B17" s="2" t="s">
        <v>46</v>
      </c>
      <c r="C17" s="9">
        <v>45995.0</v>
      </c>
      <c r="D17" s="7">
        <v>0.5208333333333334</v>
      </c>
      <c r="E17" s="7">
        <v>0.6875</v>
      </c>
      <c r="F17" s="2" t="s">
        <v>5</v>
      </c>
      <c r="G17" s="2">
        <v>9.0</v>
      </c>
      <c r="H17" s="2" t="s">
        <v>32</v>
      </c>
      <c r="I17" s="2" t="s">
        <v>32</v>
      </c>
      <c r="J17" s="8"/>
    </row>
    <row r="18" hidden="1">
      <c r="A18" s="2" t="s">
        <v>27</v>
      </c>
      <c r="B18" s="2" t="s">
        <v>34</v>
      </c>
      <c r="C18" s="9">
        <v>45995.0</v>
      </c>
      <c r="D18" s="7">
        <v>0.6145833333333334</v>
      </c>
      <c r="E18" s="7">
        <v>0.7152777777777778</v>
      </c>
      <c r="F18" s="2"/>
      <c r="G18" s="2">
        <v>20.0</v>
      </c>
      <c r="H18" s="8"/>
      <c r="I18" s="2" t="s">
        <v>32</v>
      </c>
      <c r="J18" s="8"/>
    </row>
    <row r="19" hidden="1">
      <c r="A19" s="2" t="s">
        <v>39</v>
      </c>
      <c r="B19" s="2" t="s">
        <v>40</v>
      </c>
      <c r="C19" s="9">
        <v>45995.0</v>
      </c>
      <c r="D19" s="7">
        <v>0.6145833333333334</v>
      </c>
      <c r="E19" s="7">
        <v>0.90625</v>
      </c>
      <c r="F19" s="2" t="s">
        <v>47</v>
      </c>
      <c r="G19" s="2">
        <v>1.0</v>
      </c>
      <c r="H19" s="2" t="s">
        <v>32</v>
      </c>
      <c r="I19" s="2" t="s">
        <v>32</v>
      </c>
      <c r="J19" s="8"/>
    </row>
    <row r="20" hidden="1">
      <c r="A20" s="2" t="s">
        <v>48</v>
      </c>
      <c r="B20" s="2" t="s">
        <v>49</v>
      </c>
      <c r="C20" s="9">
        <v>45995.0</v>
      </c>
      <c r="D20" s="7">
        <v>0.75</v>
      </c>
      <c r="E20" s="7">
        <v>0.90625</v>
      </c>
      <c r="F20" s="2" t="s">
        <v>50</v>
      </c>
      <c r="G20" s="2">
        <v>4.0</v>
      </c>
      <c r="H20" s="2" t="s">
        <v>51</v>
      </c>
      <c r="I20" s="2" t="s">
        <v>32</v>
      </c>
      <c r="J20" s="8"/>
    </row>
    <row r="21" hidden="1">
      <c r="A21" s="2" t="s">
        <v>52</v>
      </c>
      <c r="B21" s="2" t="s">
        <v>53</v>
      </c>
      <c r="C21" s="6">
        <v>45996.0</v>
      </c>
      <c r="D21" s="7">
        <v>0.3333333333333333</v>
      </c>
      <c r="E21" s="7">
        <v>0.6041666666666666</v>
      </c>
      <c r="F21" s="2" t="s">
        <v>54</v>
      </c>
      <c r="G21" s="2">
        <v>1.0</v>
      </c>
      <c r="H21" s="2" t="s">
        <v>32</v>
      </c>
      <c r="I21" s="2">
        <v>1.0</v>
      </c>
      <c r="J21" s="8"/>
    </row>
    <row r="22" hidden="1">
      <c r="A22" s="2" t="s">
        <v>55</v>
      </c>
      <c r="B22" s="2" t="s">
        <v>56</v>
      </c>
      <c r="C22" s="6">
        <v>45996.0</v>
      </c>
      <c r="D22" s="7">
        <v>0.3597222222222222</v>
      </c>
      <c r="E22" s="7">
        <v>0.4583333333333333</v>
      </c>
      <c r="F22" s="2" t="s">
        <v>54</v>
      </c>
      <c r="G22" s="2">
        <v>1.0</v>
      </c>
      <c r="H22" s="2" t="s">
        <v>32</v>
      </c>
      <c r="I22" s="2">
        <v>1.0</v>
      </c>
      <c r="J22" s="8"/>
    </row>
    <row r="23" hidden="1">
      <c r="A23" s="2" t="s">
        <v>57</v>
      </c>
      <c r="B23" s="2" t="s">
        <v>58</v>
      </c>
      <c r="C23" s="6">
        <v>45996.0</v>
      </c>
      <c r="D23" s="7">
        <v>0.6180555555555556</v>
      </c>
      <c r="E23" s="7">
        <v>0.7083333333333334</v>
      </c>
      <c r="F23" s="2" t="s">
        <v>54</v>
      </c>
      <c r="G23" s="2">
        <v>24.0</v>
      </c>
      <c r="H23" s="2" t="s">
        <v>32</v>
      </c>
      <c r="I23" s="8"/>
      <c r="J23" s="8"/>
    </row>
    <row r="24" hidden="1">
      <c r="A24" s="2" t="s">
        <v>59</v>
      </c>
      <c r="B24" s="2" t="s">
        <v>60</v>
      </c>
      <c r="C24" s="6">
        <v>45996.0</v>
      </c>
      <c r="D24" s="7">
        <v>0.625</v>
      </c>
      <c r="E24" s="7">
        <v>0.625</v>
      </c>
      <c r="F24" s="2" t="s">
        <v>61</v>
      </c>
      <c r="G24" s="2">
        <v>12.0</v>
      </c>
      <c r="H24" s="2" t="s">
        <v>32</v>
      </c>
      <c r="I24" s="8"/>
      <c r="J24" s="8"/>
    </row>
    <row r="25" hidden="1">
      <c r="A25" s="2" t="s">
        <v>62</v>
      </c>
      <c r="B25" s="2" t="s">
        <v>37</v>
      </c>
      <c r="C25" s="6">
        <v>45996.0</v>
      </c>
      <c r="D25" s="7">
        <v>0.6388888888888888</v>
      </c>
      <c r="E25" s="7">
        <v>0.7083333333333334</v>
      </c>
      <c r="F25" s="2" t="s">
        <v>63</v>
      </c>
      <c r="G25" s="2">
        <v>6.0</v>
      </c>
      <c r="H25" s="8"/>
      <c r="I25" s="8"/>
      <c r="J25" s="8"/>
    </row>
    <row r="26" hidden="1">
      <c r="A26" s="2" t="s">
        <v>64</v>
      </c>
      <c r="B26" s="2" t="s">
        <v>46</v>
      </c>
      <c r="C26" s="6">
        <v>45999.0</v>
      </c>
      <c r="D26" s="7">
        <v>0.31805555555555554</v>
      </c>
      <c r="E26" s="7">
        <v>0.4618055555555556</v>
      </c>
      <c r="F26" s="2" t="s">
        <v>65</v>
      </c>
      <c r="G26" s="2">
        <v>17.0</v>
      </c>
      <c r="H26" s="2" t="s">
        <v>32</v>
      </c>
      <c r="I26" s="2">
        <v>17.0</v>
      </c>
      <c r="J26" s="8"/>
    </row>
    <row r="27" hidden="1">
      <c r="A27" s="2" t="s">
        <v>21</v>
      </c>
      <c r="B27" s="2" t="s">
        <v>66</v>
      </c>
      <c r="C27" s="6">
        <v>45999.0</v>
      </c>
      <c r="D27" s="7">
        <v>0.3229166666666667</v>
      </c>
      <c r="E27" s="7">
        <v>0.4583333333333333</v>
      </c>
      <c r="F27" s="2" t="s">
        <v>67</v>
      </c>
      <c r="G27" s="2">
        <v>10.0</v>
      </c>
      <c r="H27" s="2" t="s">
        <v>32</v>
      </c>
      <c r="I27" s="2">
        <v>10.0</v>
      </c>
      <c r="J27" s="8"/>
    </row>
    <row r="28" hidden="1">
      <c r="A28" s="2" t="s">
        <v>16</v>
      </c>
      <c r="B28" s="2" t="s">
        <v>17</v>
      </c>
      <c r="C28" s="6">
        <v>45999.0</v>
      </c>
      <c r="D28" s="7">
        <v>0.5</v>
      </c>
      <c r="E28" s="7">
        <v>0.6041666666666666</v>
      </c>
      <c r="F28" s="2" t="s">
        <v>68</v>
      </c>
      <c r="G28" s="2">
        <v>20.0</v>
      </c>
      <c r="H28" s="2" t="s">
        <v>32</v>
      </c>
      <c r="I28" s="2">
        <v>20.0</v>
      </c>
      <c r="J28" s="8"/>
    </row>
    <row r="29" hidden="1">
      <c r="A29" s="2" t="s">
        <v>13</v>
      </c>
      <c r="B29" s="2" t="s">
        <v>14</v>
      </c>
      <c r="C29" s="6">
        <v>45999.0</v>
      </c>
      <c r="D29" s="7">
        <v>0.40625</v>
      </c>
      <c r="E29" s="7">
        <v>0.6041666666666666</v>
      </c>
      <c r="F29" s="2" t="s">
        <v>44</v>
      </c>
      <c r="G29" s="2">
        <v>11.0</v>
      </c>
      <c r="H29" s="2" t="s">
        <v>32</v>
      </c>
      <c r="I29" s="2">
        <v>11.0</v>
      </c>
      <c r="J29" s="8"/>
    </row>
    <row r="30" hidden="1">
      <c r="A30" s="2" t="s">
        <v>41</v>
      </c>
      <c r="B30" s="2" t="s">
        <v>69</v>
      </c>
      <c r="C30" s="6">
        <v>45999.0</v>
      </c>
      <c r="D30" s="7">
        <v>0.5208333333333334</v>
      </c>
      <c r="E30" s="8"/>
      <c r="F30" s="2" t="s">
        <v>65</v>
      </c>
      <c r="G30" s="2">
        <v>11.0</v>
      </c>
      <c r="H30" s="8"/>
      <c r="I30" s="2">
        <v>11.0</v>
      </c>
      <c r="J30" s="8"/>
    </row>
    <row r="31" hidden="1">
      <c r="A31" s="2" t="s">
        <v>70</v>
      </c>
      <c r="B31" s="2" t="s">
        <v>46</v>
      </c>
      <c r="C31" s="6">
        <v>45999.0</v>
      </c>
      <c r="D31" s="7">
        <v>0.5416666666666666</v>
      </c>
      <c r="E31" s="8"/>
      <c r="F31" s="2" t="s">
        <v>71</v>
      </c>
      <c r="G31" s="2">
        <v>7.0</v>
      </c>
      <c r="H31" s="2" t="s">
        <v>32</v>
      </c>
      <c r="I31" s="2">
        <v>7.0</v>
      </c>
      <c r="J31" s="8"/>
    </row>
    <row r="32" hidden="1">
      <c r="A32" s="2" t="s">
        <v>57</v>
      </c>
      <c r="B32" s="8"/>
      <c r="C32" s="6">
        <v>45999.0</v>
      </c>
      <c r="D32" s="7">
        <v>0.7708333333333334</v>
      </c>
      <c r="E32" s="7">
        <v>0.9027777777777778</v>
      </c>
      <c r="F32" s="2" t="s">
        <v>72</v>
      </c>
      <c r="G32" s="2">
        <v>15.0</v>
      </c>
      <c r="H32" s="2" t="s">
        <v>32</v>
      </c>
      <c r="I32" s="2">
        <v>15.0</v>
      </c>
      <c r="J32" s="8"/>
    </row>
    <row r="33" hidden="1">
      <c r="A33" s="2" t="s">
        <v>41</v>
      </c>
      <c r="B33" s="2" t="s">
        <v>69</v>
      </c>
      <c r="C33" s="6">
        <v>46000.0</v>
      </c>
      <c r="D33" s="8"/>
      <c r="E33" s="8"/>
      <c r="F33" s="2" t="s">
        <v>65</v>
      </c>
      <c r="G33" s="2">
        <v>10.0</v>
      </c>
      <c r="H33" s="2" t="s">
        <v>32</v>
      </c>
      <c r="I33" s="2">
        <v>10.0</v>
      </c>
      <c r="J33" s="8"/>
    </row>
    <row r="34" hidden="1">
      <c r="A34" s="2" t="s">
        <v>21</v>
      </c>
      <c r="B34" s="2" t="s">
        <v>73</v>
      </c>
      <c r="C34" s="6">
        <v>46000.0</v>
      </c>
      <c r="D34" s="7">
        <v>0.3229166666666667</v>
      </c>
      <c r="E34" s="7">
        <v>0.6875</v>
      </c>
      <c r="F34" s="2" t="s">
        <v>67</v>
      </c>
      <c r="G34" s="2">
        <v>10.0</v>
      </c>
      <c r="H34" s="2" t="s">
        <v>32</v>
      </c>
      <c r="I34" s="2">
        <v>10.0</v>
      </c>
      <c r="J34" s="8"/>
    </row>
    <row r="35" hidden="1">
      <c r="A35" s="2" t="s">
        <v>16</v>
      </c>
      <c r="B35" s="2" t="s">
        <v>17</v>
      </c>
      <c r="C35" s="6">
        <v>46000.0</v>
      </c>
      <c r="D35" s="7">
        <v>0.5277777777777778</v>
      </c>
      <c r="E35" s="7">
        <v>0.6041666666666666</v>
      </c>
      <c r="F35" s="2" t="s">
        <v>44</v>
      </c>
      <c r="G35" s="2">
        <v>6.0</v>
      </c>
      <c r="H35" s="2" t="s">
        <v>32</v>
      </c>
      <c r="I35" s="2">
        <v>6.0</v>
      </c>
      <c r="J35" s="8"/>
    </row>
    <row r="36" hidden="1">
      <c r="A36" s="2" t="s">
        <v>74</v>
      </c>
      <c r="B36" s="2" t="s">
        <v>75</v>
      </c>
      <c r="C36" s="6">
        <v>46000.0</v>
      </c>
      <c r="D36" s="7">
        <v>0.6111111111111112</v>
      </c>
      <c r="E36" s="7">
        <v>0.90625</v>
      </c>
      <c r="F36" s="2" t="s">
        <v>76</v>
      </c>
      <c r="G36" s="2">
        <v>1.0</v>
      </c>
      <c r="H36" s="2" t="s">
        <v>32</v>
      </c>
      <c r="I36" s="2">
        <v>1.0</v>
      </c>
      <c r="J36" s="8"/>
    </row>
    <row r="37" hidden="1">
      <c r="A37" s="2" t="s">
        <v>10</v>
      </c>
      <c r="B37" s="2" t="s">
        <v>77</v>
      </c>
      <c r="C37" s="6">
        <v>46000.0</v>
      </c>
      <c r="D37" s="7">
        <v>0.6423611111111112</v>
      </c>
      <c r="E37" s="8"/>
      <c r="F37" s="2" t="s">
        <v>78</v>
      </c>
      <c r="G37" s="2">
        <v>10.0</v>
      </c>
      <c r="H37" s="8"/>
      <c r="I37" s="2">
        <v>10.0</v>
      </c>
      <c r="J37" s="8"/>
    </row>
    <row r="38" hidden="1">
      <c r="A38" s="2" t="s">
        <v>79</v>
      </c>
      <c r="B38" s="2" t="s">
        <v>69</v>
      </c>
      <c r="C38" s="6">
        <v>46000.0</v>
      </c>
      <c r="D38" s="7">
        <v>0.7638888888888888</v>
      </c>
      <c r="E38" s="8"/>
      <c r="F38" s="8"/>
      <c r="G38" s="2">
        <v>5.0</v>
      </c>
      <c r="H38" s="2" t="s">
        <v>32</v>
      </c>
      <c r="I38" s="2">
        <v>5.0</v>
      </c>
      <c r="J38" s="8"/>
    </row>
    <row r="39" hidden="1">
      <c r="A39" s="2" t="s">
        <v>80</v>
      </c>
      <c r="B39" s="2" t="s">
        <v>81</v>
      </c>
      <c r="C39" s="6">
        <v>46000.0</v>
      </c>
      <c r="D39" s="7">
        <v>0.7777777777777778</v>
      </c>
      <c r="E39" s="8"/>
      <c r="F39" s="2" t="s">
        <v>82</v>
      </c>
      <c r="G39" s="2">
        <v>5.0</v>
      </c>
      <c r="H39" s="2" t="s">
        <v>32</v>
      </c>
      <c r="I39" s="2">
        <v>5.0</v>
      </c>
      <c r="J39" s="8"/>
    </row>
    <row r="40" hidden="1">
      <c r="A40" s="2" t="s">
        <v>43</v>
      </c>
      <c r="B40" s="2" t="s">
        <v>17</v>
      </c>
      <c r="C40" s="6">
        <v>46001.0</v>
      </c>
      <c r="D40" s="7">
        <v>0.5</v>
      </c>
      <c r="E40" s="7">
        <v>0.6041666666666666</v>
      </c>
      <c r="F40" s="2" t="s">
        <v>83</v>
      </c>
      <c r="G40" s="2">
        <v>11.0</v>
      </c>
      <c r="H40" s="2" t="s">
        <v>32</v>
      </c>
      <c r="I40" s="2"/>
      <c r="J40" s="8"/>
    </row>
    <row r="41" hidden="1">
      <c r="A41" s="2" t="s">
        <v>70</v>
      </c>
      <c r="B41" s="2" t="s">
        <v>14</v>
      </c>
      <c r="C41" s="6">
        <v>46001.0</v>
      </c>
      <c r="D41" s="7">
        <v>0.2916666666666667</v>
      </c>
      <c r="E41" s="8"/>
      <c r="F41" s="2" t="s">
        <v>84</v>
      </c>
      <c r="G41" s="2">
        <v>2.0</v>
      </c>
      <c r="H41" s="2" t="s">
        <v>32</v>
      </c>
      <c r="I41" s="8"/>
      <c r="J41" s="8"/>
    </row>
    <row r="42" hidden="1">
      <c r="A42" s="2" t="s">
        <v>55</v>
      </c>
      <c r="B42" s="2" t="s">
        <v>66</v>
      </c>
      <c r="C42" s="10">
        <v>46001.0</v>
      </c>
      <c r="D42" s="7">
        <v>0.3125</v>
      </c>
      <c r="E42" s="7">
        <v>0.4652777777777778</v>
      </c>
      <c r="F42" s="2" t="s">
        <v>85</v>
      </c>
      <c r="G42" s="2">
        <v>11.0</v>
      </c>
      <c r="H42" s="2" t="s">
        <v>32</v>
      </c>
      <c r="I42" s="8"/>
      <c r="J42" s="8"/>
    </row>
    <row r="43" hidden="1">
      <c r="A43" s="2" t="s">
        <v>52</v>
      </c>
      <c r="B43" s="2" t="s">
        <v>86</v>
      </c>
      <c r="C43" s="6">
        <v>46001.0</v>
      </c>
      <c r="D43" s="7">
        <v>0.3229166666666667</v>
      </c>
      <c r="E43" s="7">
        <v>0.4722222222222222</v>
      </c>
      <c r="F43" s="2" t="s">
        <v>87</v>
      </c>
      <c r="G43" s="2">
        <v>1.0</v>
      </c>
      <c r="H43" s="2" t="s">
        <v>32</v>
      </c>
      <c r="I43" s="8"/>
      <c r="J43" s="8"/>
    </row>
    <row r="44" hidden="1">
      <c r="A44" s="2" t="s">
        <v>41</v>
      </c>
      <c r="B44" s="2" t="s">
        <v>69</v>
      </c>
      <c r="C44" s="6">
        <v>46001.0</v>
      </c>
      <c r="D44" s="7">
        <v>0.3541666666666667</v>
      </c>
      <c r="E44" s="8"/>
      <c r="F44" s="2" t="s">
        <v>31</v>
      </c>
      <c r="G44" s="2">
        <v>1.0</v>
      </c>
      <c r="H44" s="8"/>
      <c r="I44" s="8"/>
      <c r="J44" s="8"/>
    </row>
    <row r="45" hidden="1">
      <c r="A45" s="2" t="s">
        <v>88</v>
      </c>
      <c r="B45" s="2" t="s">
        <v>89</v>
      </c>
      <c r="C45" s="6">
        <v>46001.0</v>
      </c>
      <c r="D45" s="7">
        <v>0.5</v>
      </c>
      <c r="E45" s="8"/>
      <c r="F45" s="2" t="s">
        <v>90</v>
      </c>
      <c r="G45" s="2">
        <v>2.0</v>
      </c>
      <c r="H45" s="2" t="s">
        <v>32</v>
      </c>
      <c r="I45" s="2">
        <v>2.0</v>
      </c>
      <c r="J45" s="8"/>
    </row>
    <row r="46" hidden="1">
      <c r="A46" s="2" t="s">
        <v>91</v>
      </c>
      <c r="B46" s="2" t="s">
        <v>92</v>
      </c>
      <c r="C46" s="6">
        <v>46001.0</v>
      </c>
      <c r="D46" s="2">
        <v>13.0</v>
      </c>
      <c r="E46" s="8"/>
      <c r="F46" s="2" t="s">
        <v>5</v>
      </c>
      <c r="G46" s="2">
        <v>24.0</v>
      </c>
      <c r="H46" s="2" t="s">
        <v>32</v>
      </c>
      <c r="I46" s="8"/>
      <c r="J46" s="8"/>
    </row>
    <row r="47" hidden="1">
      <c r="A47" s="2" t="s">
        <v>29</v>
      </c>
      <c r="B47" s="2" t="s">
        <v>93</v>
      </c>
      <c r="C47" s="6">
        <v>46001.0</v>
      </c>
      <c r="D47" s="7">
        <v>0.6145833333333334</v>
      </c>
      <c r="E47" s="7">
        <v>0.7291666666666666</v>
      </c>
      <c r="F47" s="2" t="s">
        <v>31</v>
      </c>
      <c r="G47" s="2">
        <v>18.0</v>
      </c>
      <c r="H47" s="2" t="s">
        <v>32</v>
      </c>
      <c r="I47" s="8"/>
      <c r="J47" s="8"/>
    </row>
    <row r="48" hidden="1">
      <c r="A48" s="2" t="s">
        <v>94</v>
      </c>
      <c r="B48" s="2" t="s">
        <v>14</v>
      </c>
      <c r="C48" s="6">
        <v>46001.0</v>
      </c>
      <c r="D48" s="7">
        <v>0.5465277777777777</v>
      </c>
      <c r="E48" s="7">
        <v>0.6041666666666666</v>
      </c>
      <c r="F48" s="2" t="s">
        <v>95</v>
      </c>
      <c r="G48" s="2">
        <v>2.0</v>
      </c>
      <c r="H48" s="8"/>
      <c r="I48" s="8"/>
      <c r="J48" s="8"/>
    </row>
    <row r="49" hidden="1">
      <c r="A49" s="2" t="s">
        <v>43</v>
      </c>
      <c r="B49" s="2" t="s">
        <v>96</v>
      </c>
      <c r="C49" s="6">
        <v>46001.0</v>
      </c>
      <c r="D49" s="7">
        <v>0.65625</v>
      </c>
      <c r="E49" s="7">
        <v>0.7291666666666666</v>
      </c>
      <c r="F49" s="2" t="s">
        <v>31</v>
      </c>
      <c r="G49" s="2">
        <v>6.0</v>
      </c>
      <c r="H49" s="2" t="s">
        <v>32</v>
      </c>
      <c r="I49" s="8"/>
      <c r="J49" s="8"/>
      <c r="K49" s="11" t="s">
        <v>97</v>
      </c>
    </row>
    <row r="50" hidden="1">
      <c r="A50" s="2" t="s">
        <v>62</v>
      </c>
      <c r="B50" s="2" t="s">
        <v>37</v>
      </c>
      <c r="C50" s="6">
        <v>46001.0</v>
      </c>
      <c r="D50" s="7">
        <v>0.7916666666666666</v>
      </c>
      <c r="E50" s="7">
        <v>0.875</v>
      </c>
      <c r="F50" s="2" t="s">
        <v>95</v>
      </c>
      <c r="G50" s="2">
        <v>2.0</v>
      </c>
      <c r="H50" s="8"/>
      <c r="I50" s="8"/>
      <c r="J50" s="8"/>
    </row>
    <row r="51" hidden="1">
      <c r="A51" s="2" t="s">
        <v>98</v>
      </c>
      <c r="B51" s="2" t="s">
        <v>99</v>
      </c>
      <c r="C51" s="6">
        <v>46001.0</v>
      </c>
      <c r="D51" s="7">
        <v>0.7916666666666666</v>
      </c>
      <c r="E51" s="7">
        <v>0.8958333333333334</v>
      </c>
      <c r="F51" s="2" t="s">
        <v>31</v>
      </c>
      <c r="G51" s="2">
        <v>8.0</v>
      </c>
      <c r="H51" s="8"/>
      <c r="I51" s="8"/>
      <c r="J51" s="8"/>
    </row>
    <row r="52" hidden="1">
      <c r="A52" s="2" t="s">
        <v>59</v>
      </c>
      <c r="B52" s="2" t="s">
        <v>100</v>
      </c>
      <c r="C52" s="6">
        <v>46001.0</v>
      </c>
      <c r="D52" s="7">
        <v>0.8333333333333334</v>
      </c>
      <c r="E52" s="7">
        <v>0.8958333333333334</v>
      </c>
      <c r="F52" s="2" t="s">
        <v>101</v>
      </c>
      <c r="G52" s="2">
        <v>1.0</v>
      </c>
      <c r="H52" s="8"/>
      <c r="I52" s="8"/>
      <c r="J52" s="8"/>
    </row>
    <row r="53" hidden="1">
      <c r="A53" s="2" t="s">
        <v>52</v>
      </c>
      <c r="B53" s="2" t="s">
        <v>86</v>
      </c>
      <c r="C53" s="6">
        <v>46002.0</v>
      </c>
      <c r="D53" s="7">
        <v>0.3229166666666667</v>
      </c>
      <c r="E53" s="7">
        <v>0.6041666666666666</v>
      </c>
      <c r="F53" s="2" t="s">
        <v>87</v>
      </c>
      <c r="G53" s="2">
        <v>1.0</v>
      </c>
      <c r="H53" s="2" t="s">
        <v>32</v>
      </c>
      <c r="I53" s="2" t="s">
        <v>102</v>
      </c>
      <c r="J53" s="8"/>
    </row>
    <row r="54" hidden="1">
      <c r="A54" s="2" t="s">
        <v>103</v>
      </c>
      <c r="B54" s="2" t="s">
        <v>104</v>
      </c>
      <c r="C54" s="6">
        <v>46002.0</v>
      </c>
      <c r="D54" s="7">
        <v>0.4375</v>
      </c>
      <c r="E54" s="7">
        <v>0.4791666666666667</v>
      </c>
      <c r="F54" s="2" t="s">
        <v>105</v>
      </c>
      <c r="G54" s="2">
        <v>12.0</v>
      </c>
      <c r="H54" s="2" t="s">
        <v>32</v>
      </c>
      <c r="I54" s="2" t="s">
        <v>106</v>
      </c>
      <c r="J54" s="8"/>
    </row>
    <row r="55" hidden="1">
      <c r="A55" s="2" t="s">
        <v>107</v>
      </c>
      <c r="B55" s="2" t="s">
        <v>108</v>
      </c>
      <c r="C55" s="6">
        <v>46002.0</v>
      </c>
      <c r="D55" s="7">
        <v>0.3923611111111111</v>
      </c>
      <c r="E55" s="8"/>
      <c r="F55" s="2" t="s">
        <v>109</v>
      </c>
      <c r="G55" s="2">
        <v>2.0</v>
      </c>
      <c r="H55" s="2" t="s">
        <v>32</v>
      </c>
      <c r="I55" s="2" t="s">
        <v>110</v>
      </c>
      <c r="J55" s="8"/>
    </row>
    <row r="56" hidden="1">
      <c r="A56" s="2" t="s">
        <v>111</v>
      </c>
      <c r="B56" s="2" t="s">
        <v>112</v>
      </c>
      <c r="C56" s="6">
        <v>46002.0</v>
      </c>
      <c r="D56" s="7">
        <v>0.4097222222222222</v>
      </c>
      <c r="E56" s="7">
        <v>0.6875</v>
      </c>
      <c r="F56" s="2" t="s">
        <v>113</v>
      </c>
      <c r="G56" s="2">
        <v>15.0</v>
      </c>
      <c r="H56" s="2" t="s">
        <v>32</v>
      </c>
      <c r="I56" s="2">
        <v>12.0</v>
      </c>
      <c r="J56" s="8"/>
    </row>
    <row r="57" hidden="1">
      <c r="A57" s="2" t="s">
        <v>13</v>
      </c>
      <c r="B57" s="2" t="s">
        <v>14</v>
      </c>
      <c r="C57" s="6">
        <v>46002.0</v>
      </c>
      <c r="D57" s="7">
        <v>0.4166666666666667</v>
      </c>
      <c r="E57" s="7">
        <v>0.4583333333333333</v>
      </c>
      <c r="F57" s="2" t="s">
        <v>44</v>
      </c>
      <c r="G57" s="2">
        <v>2.0</v>
      </c>
      <c r="H57" s="2" t="s">
        <v>32</v>
      </c>
      <c r="I57" s="8"/>
      <c r="J57" s="8"/>
    </row>
    <row r="58" hidden="1">
      <c r="A58" s="2" t="s">
        <v>114</v>
      </c>
      <c r="B58" s="2" t="s">
        <v>115</v>
      </c>
      <c r="C58" s="6">
        <v>46002.0</v>
      </c>
      <c r="D58" s="7">
        <v>0.5555555555555556</v>
      </c>
      <c r="E58" s="7">
        <v>0.6875</v>
      </c>
      <c r="F58" s="2" t="s">
        <v>44</v>
      </c>
      <c r="G58" s="2">
        <v>13.0</v>
      </c>
      <c r="H58" s="8"/>
      <c r="I58" s="8"/>
      <c r="J58" s="8"/>
    </row>
    <row r="59" hidden="1">
      <c r="A59" s="2" t="s">
        <v>39</v>
      </c>
      <c r="B59" s="2" t="s">
        <v>25</v>
      </c>
      <c r="C59" s="6">
        <v>46002.0</v>
      </c>
      <c r="D59" s="7">
        <v>0.6145833333333334</v>
      </c>
      <c r="E59" s="7">
        <v>0.7083333333333334</v>
      </c>
      <c r="F59" s="2" t="s">
        <v>101</v>
      </c>
      <c r="G59" s="2">
        <v>1.0</v>
      </c>
      <c r="H59" s="8"/>
      <c r="I59" s="8"/>
      <c r="J59" s="8"/>
    </row>
    <row r="60" hidden="1">
      <c r="A60" s="2" t="s">
        <v>52</v>
      </c>
      <c r="B60" s="2" t="s">
        <v>86</v>
      </c>
      <c r="C60" s="6">
        <v>46003.0</v>
      </c>
      <c r="D60" s="7">
        <v>0.3125</v>
      </c>
      <c r="E60" s="7">
        <v>0.6041666666666666</v>
      </c>
      <c r="F60" s="2" t="s">
        <v>87</v>
      </c>
      <c r="G60" s="2">
        <v>1.0</v>
      </c>
      <c r="H60" s="8"/>
      <c r="I60" s="8"/>
      <c r="J60" s="8"/>
    </row>
    <row r="61" hidden="1">
      <c r="A61" s="2" t="s">
        <v>70</v>
      </c>
      <c r="B61" s="2" t="s">
        <v>14</v>
      </c>
      <c r="C61" s="10">
        <v>46003.0</v>
      </c>
      <c r="D61" s="7">
        <v>0.5208333333333334</v>
      </c>
      <c r="E61" s="8"/>
      <c r="F61" s="2" t="s">
        <v>116</v>
      </c>
      <c r="G61" s="2">
        <v>1.0</v>
      </c>
      <c r="H61" s="8"/>
      <c r="I61" s="8"/>
      <c r="J61" s="8"/>
    </row>
    <row r="62" hidden="1">
      <c r="A62" s="2" t="s">
        <v>21</v>
      </c>
      <c r="B62" s="2" t="s">
        <v>117</v>
      </c>
      <c r="C62" s="6">
        <v>46003.0</v>
      </c>
      <c r="D62" s="7">
        <v>0.5243055555555556</v>
      </c>
      <c r="E62" s="7">
        <v>0.6458333333333334</v>
      </c>
      <c r="F62" s="2" t="s">
        <v>118</v>
      </c>
      <c r="G62" s="2">
        <v>10.0</v>
      </c>
      <c r="H62" s="2" t="s">
        <v>32</v>
      </c>
      <c r="I62" s="8"/>
      <c r="J62" s="8"/>
    </row>
    <row r="63" hidden="1">
      <c r="A63" s="2" t="s">
        <v>62</v>
      </c>
      <c r="B63" s="2" t="s">
        <v>37</v>
      </c>
      <c r="C63" s="6">
        <v>46003.0</v>
      </c>
      <c r="D63" s="7">
        <v>0.75</v>
      </c>
      <c r="E63" s="7">
        <v>0.8333333333333334</v>
      </c>
      <c r="F63" s="2" t="s">
        <v>95</v>
      </c>
      <c r="G63" s="2">
        <v>2.0</v>
      </c>
      <c r="H63" s="2" t="s">
        <v>32</v>
      </c>
      <c r="I63" s="8"/>
      <c r="J63" s="8"/>
    </row>
    <row r="64" hidden="1">
      <c r="A64" s="2" t="s">
        <v>13</v>
      </c>
      <c r="B64" s="2" t="s">
        <v>73</v>
      </c>
      <c r="C64" s="6">
        <v>46055.0</v>
      </c>
      <c r="D64" s="7">
        <v>0.3125</v>
      </c>
      <c r="E64" s="7">
        <v>0.59375</v>
      </c>
      <c r="F64" s="2" t="s">
        <v>95</v>
      </c>
      <c r="G64" s="2">
        <v>12.0</v>
      </c>
      <c r="H64" s="2">
        <v>12.0</v>
      </c>
      <c r="I64" s="8"/>
      <c r="J64" s="8"/>
    </row>
    <row r="65" hidden="1">
      <c r="A65" s="2" t="s">
        <v>119</v>
      </c>
      <c r="B65" s="2" t="s">
        <v>120</v>
      </c>
      <c r="C65" s="6">
        <v>46055.0</v>
      </c>
      <c r="D65" s="7">
        <v>0.4583333333333333</v>
      </c>
      <c r="E65" s="8"/>
      <c r="F65" s="8"/>
      <c r="G65" s="2">
        <v>5.0</v>
      </c>
      <c r="H65" s="2">
        <v>8.0</v>
      </c>
      <c r="I65" s="2">
        <v>5.0</v>
      </c>
      <c r="J65" s="8"/>
    </row>
    <row r="66" hidden="1">
      <c r="A66" s="2" t="s">
        <v>16</v>
      </c>
      <c r="B66" s="2" t="s">
        <v>17</v>
      </c>
      <c r="C66" s="6">
        <v>46056.0</v>
      </c>
      <c r="D66" s="7">
        <v>0.3125</v>
      </c>
      <c r="E66" s="8"/>
      <c r="F66" s="2" t="s">
        <v>121</v>
      </c>
      <c r="G66" s="2">
        <v>22.0</v>
      </c>
      <c r="H66" s="8"/>
      <c r="I66" s="8"/>
      <c r="J66" s="8"/>
    </row>
    <row r="67" hidden="1">
      <c r="A67" s="2" t="s">
        <v>122</v>
      </c>
      <c r="B67" s="2" t="s">
        <v>92</v>
      </c>
      <c r="C67" s="6">
        <v>46056.0</v>
      </c>
      <c r="D67" s="7">
        <v>0.3125</v>
      </c>
      <c r="E67" s="7">
        <v>0.6041666666666666</v>
      </c>
      <c r="F67" s="2" t="s">
        <v>123</v>
      </c>
      <c r="G67" s="2">
        <v>6.0</v>
      </c>
      <c r="H67" s="2">
        <v>6.0</v>
      </c>
      <c r="I67" s="8"/>
      <c r="J67" s="8"/>
    </row>
    <row r="68" hidden="1">
      <c r="A68" s="2" t="s">
        <v>43</v>
      </c>
      <c r="B68" s="8"/>
      <c r="C68" s="6">
        <v>46056.0</v>
      </c>
      <c r="D68" s="7">
        <v>0.3333333333333333</v>
      </c>
      <c r="E68" s="7">
        <v>0.6041666666666666</v>
      </c>
      <c r="F68" s="2" t="s">
        <v>44</v>
      </c>
      <c r="G68" s="2">
        <v>1.0</v>
      </c>
      <c r="H68" s="2">
        <v>1.0</v>
      </c>
      <c r="I68" s="8"/>
      <c r="J68" s="8"/>
    </row>
    <row r="69" hidden="1">
      <c r="A69" s="2" t="s">
        <v>64</v>
      </c>
      <c r="B69" s="2" t="s">
        <v>124</v>
      </c>
      <c r="C69" s="6">
        <v>46056.0</v>
      </c>
      <c r="D69" s="7">
        <v>0.3472222222222222</v>
      </c>
      <c r="E69" s="7">
        <v>0.6875</v>
      </c>
      <c r="F69" s="2" t="s">
        <v>125</v>
      </c>
      <c r="G69" s="2">
        <v>10.0</v>
      </c>
      <c r="H69" s="2">
        <v>10.0</v>
      </c>
      <c r="I69" s="8"/>
      <c r="J69" s="8"/>
    </row>
    <row r="70" hidden="1">
      <c r="A70" s="2" t="s">
        <v>41</v>
      </c>
      <c r="B70" s="2" t="s">
        <v>42</v>
      </c>
      <c r="C70" s="6">
        <v>46056.0</v>
      </c>
      <c r="D70" s="7">
        <v>0.5208333333333334</v>
      </c>
      <c r="E70" s="7">
        <v>0.6875</v>
      </c>
      <c r="F70" s="2" t="s">
        <v>113</v>
      </c>
      <c r="G70" s="2">
        <v>13.0</v>
      </c>
      <c r="H70" s="8"/>
      <c r="I70" s="8"/>
      <c r="J70" s="8"/>
    </row>
    <row r="71" hidden="1">
      <c r="A71" s="2" t="s">
        <v>70</v>
      </c>
      <c r="B71" s="2" t="s">
        <v>77</v>
      </c>
      <c r="C71" s="6">
        <v>46056.0</v>
      </c>
      <c r="D71" s="7">
        <v>0.7083333333333334</v>
      </c>
      <c r="E71" s="7">
        <v>0.90625</v>
      </c>
      <c r="F71" s="2" t="s">
        <v>44</v>
      </c>
      <c r="G71" s="2">
        <v>2.0</v>
      </c>
      <c r="H71" s="2">
        <v>2.0</v>
      </c>
      <c r="I71" s="8"/>
      <c r="J71" s="8"/>
    </row>
    <row r="72" hidden="1">
      <c r="A72" s="2" t="s">
        <v>126</v>
      </c>
      <c r="B72" s="2" t="s">
        <v>115</v>
      </c>
      <c r="C72" s="6">
        <v>46057.0</v>
      </c>
      <c r="D72" s="7">
        <v>0.6145833333333334</v>
      </c>
      <c r="E72" s="8"/>
      <c r="F72" s="2" t="s">
        <v>123</v>
      </c>
      <c r="G72" s="2">
        <v>22.0</v>
      </c>
      <c r="H72" s="8"/>
      <c r="I72" s="8"/>
      <c r="J72" s="8"/>
    </row>
    <row r="73" hidden="1">
      <c r="A73" s="2" t="s">
        <v>39</v>
      </c>
      <c r="B73" s="2" t="s">
        <v>100</v>
      </c>
      <c r="C73" s="6">
        <v>46057.0</v>
      </c>
      <c r="D73" s="7">
        <v>0.7083333333333334</v>
      </c>
      <c r="E73" s="7">
        <v>0.90625</v>
      </c>
      <c r="F73" s="2" t="s">
        <v>61</v>
      </c>
      <c r="G73" s="2">
        <v>1.0</v>
      </c>
      <c r="H73" s="8"/>
      <c r="I73" s="8"/>
      <c r="J73" s="8"/>
    </row>
    <row r="74" hidden="1">
      <c r="A74" s="2" t="s">
        <v>29</v>
      </c>
      <c r="B74" s="2" t="s">
        <v>127</v>
      </c>
      <c r="C74" s="6">
        <v>46058.0</v>
      </c>
      <c r="D74" s="7">
        <v>0.6145833333333334</v>
      </c>
      <c r="E74" s="7">
        <v>0.90625</v>
      </c>
      <c r="F74" s="2" t="s">
        <v>123</v>
      </c>
      <c r="G74" s="2">
        <v>12.0</v>
      </c>
      <c r="H74" s="2">
        <v>12.0</v>
      </c>
      <c r="I74" s="8"/>
      <c r="J74" s="8"/>
    </row>
    <row r="75" hidden="1">
      <c r="A75" s="2" t="s">
        <v>128</v>
      </c>
      <c r="B75" s="2"/>
      <c r="C75" s="6">
        <v>46058.0</v>
      </c>
      <c r="D75" s="7">
        <v>0.3333333333333333</v>
      </c>
      <c r="E75" s="7"/>
      <c r="F75" s="2" t="s">
        <v>123</v>
      </c>
      <c r="H75" s="2">
        <v>12.0</v>
      </c>
      <c r="I75" s="2"/>
      <c r="J75" s="8"/>
    </row>
    <row r="76" hidden="1">
      <c r="A76" s="2" t="s">
        <v>103</v>
      </c>
      <c r="B76" s="2" t="s">
        <v>129</v>
      </c>
      <c r="C76" s="6">
        <v>46058.0</v>
      </c>
      <c r="D76" s="7">
        <v>0.6145833333333334</v>
      </c>
      <c r="E76" s="7">
        <v>0.90625</v>
      </c>
      <c r="F76" s="2" t="s">
        <v>105</v>
      </c>
      <c r="G76" s="2">
        <v>24.0</v>
      </c>
      <c r="H76" s="2">
        <v>24.0</v>
      </c>
      <c r="I76" s="8"/>
      <c r="J76" s="8"/>
    </row>
    <row r="77" hidden="1">
      <c r="A77" s="2" t="s">
        <v>41</v>
      </c>
      <c r="B77" s="2" t="s">
        <v>42</v>
      </c>
      <c r="C77" s="6">
        <v>46058.0</v>
      </c>
      <c r="D77" s="2">
        <v>12.0</v>
      </c>
      <c r="E77" s="7">
        <v>0.5208333333333334</v>
      </c>
      <c r="F77" s="2" t="s">
        <v>31</v>
      </c>
      <c r="G77" s="2">
        <v>24.0</v>
      </c>
      <c r="H77" s="2">
        <v>24.0</v>
      </c>
      <c r="I77" s="2">
        <v>24.0</v>
      </c>
      <c r="J77" s="8"/>
    </row>
    <row r="78" hidden="1">
      <c r="A78" s="2" t="s">
        <v>130</v>
      </c>
      <c r="B78" s="2" t="s">
        <v>131</v>
      </c>
      <c r="C78" s="6">
        <v>46059.0</v>
      </c>
      <c r="D78" s="7">
        <v>0.7395833333333334</v>
      </c>
      <c r="E78" s="7">
        <v>0.90625</v>
      </c>
      <c r="F78" s="2" t="s">
        <v>132</v>
      </c>
      <c r="G78" s="2">
        <v>24.0</v>
      </c>
      <c r="H78" s="8"/>
      <c r="I78" s="8"/>
      <c r="J78" s="8"/>
    </row>
    <row r="79" hidden="1">
      <c r="A79" s="2" t="s">
        <v>133</v>
      </c>
      <c r="B79" s="2" t="s">
        <v>134</v>
      </c>
      <c r="C79" s="6">
        <v>46059.0</v>
      </c>
      <c r="D79" s="7">
        <v>0.3333333333333333</v>
      </c>
      <c r="E79" s="7">
        <v>0.6041666666666666</v>
      </c>
      <c r="F79" s="2" t="s">
        <v>135</v>
      </c>
      <c r="G79" s="2">
        <v>12.0</v>
      </c>
      <c r="H79" s="8"/>
      <c r="I79" s="8"/>
      <c r="J79" s="8"/>
    </row>
    <row r="80" hidden="1">
      <c r="A80" s="2" t="s">
        <v>136</v>
      </c>
      <c r="B80" s="2" t="s">
        <v>115</v>
      </c>
      <c r="C80" s="6">
        <v>46064.0</v>
      </c>
      <c r="D80" s="7">
        <v>0.6145833333333334</v>
      </c>
      <c r="E80" s="8"/>
      <c r="F80" s="2" t="s">
        <v>123</v>
      </c>
      <c r="G80" s="2">
        <v>22.0</v>
      </c>
      <c r="H80" s="8"/>
      <c r="I80" s="8"/>
      <c r="J80" s="8"/>
    </row>
    <row r="81" hidden="1">
      <c r="A81" s="2" t="s">
        <v>41</v>
      </c>
      <c r="B81" s="2" t="s">
        <v>69</v>
      </c>
      <c r="C81" s="6">
        <v>46058.0</v>
      </c>
      <c r="D81" s="7">
        <v>0.5208333333333334</v>
      </c>
      <c r="E81" s="7">
        <v>0.6875</v>
      </c>
      <c r="F81" s="2" t="s">
        <v>113</v>
      </c>
      <c r="G81" s="2">
        <v>12.0</v>
      </c>
      <c r="H81" s="2">
        <v>12.0</v>
      </c>
      <c r="I81" s="8"/>
      <c r="J81" s="8"/>
    </row>
    <row r="82" hidden="1">
      <c r="A82" s="2" t="s">
        <v>137</v>
      </c>
      <c r="B82" s="2" t="s">
        <v>138</v>
      </c>
      <c r="C82" s="6">
        <v>46058.0</v>
      </c>
      <c r="D82" s="7">
        <v>0.7791666666666667</v>
      </c>
      <c r="E82" s="7">
        <v>0.875</v>
      </c>
      <c r="F82" s="2" t="s">
        <v>113</v>
      </c>
      <c r="G82" s="2">
        <v>1.0</v>
      </c>
      <c r="H82" s="2">
        <v>1.0</v>
      </c>
      <c r="I82" s="8"/>
      <c r="J82" s="8"/>
    </row>
    <row r="83" hidden="1">
      <c r="A83" s="2" t="s">
        <v>130</v>
      </c>
      <c r="B83" s="2" t="s">
        <v>139</v>
      </c>
      <c r="C83" s="6">
        <v>46062.0</v>
      </c>
      <c r="D83" s="7">
        <v>0.7395833333333334</v>
      </c>
      <c r="E83" s="7">
        <v>0.90625</v>
      </c>
      <c r="F83" s="2" t="s">
        <v>140</v>
      </c>
      <c r="G83" s="2">
        <v>24.0</v>
      </c>
      <c r="H83" s="8"/>
      <c r="I83" s="8"/>
      <c r="J83" s="8"/>
    </row>
    <row r="84" hidden="1">
      <c r="A84" s="2" t="s">
        <v>130</v>
      </c>
      <c r="B84" s="2" t="s">
        <v>141</v>
      </c>
      <c r="C84" s="6">
        <v>46063.0</v>
      </c>
      <c r="D84" s="7">
        <v>0.6145833333333334</v>
      </c>
      <c r="E84" s="7">
        <v>0.90625</v>
      </c>
      <c r="F84" s="2" t="s">
        <v>140</v>
      </c>
      <c r="G84" s="2">
        <v>12.0</v>
      </c>
      <c r="H84" s="8"/>
      <c r="I84" s="8"/>
      <c r="J84" s="8"/>
    </row>
    <row r="85" hidden="1">
      <c r="A85" s="2" t="s">
        <v>130</v>
      </c>
      <c r="B85" s="2" t="s">
        <v>131</v>
      </c>
      <c r="C85" s="6">
        <v>46066.0</v>
      </c>
      <c r="D85" s="7">
        <v>0.7395833333333334</v>
      </c>
      <c r="E85" s="7">
        <v>0.90625</v>
      </c>
      <c r="F85" s="2" t="s">
        <v>140</v>
      </c>
      <c r="G85" s="2">
        <v>12.0</v>
      </c>
      <c r="H85" s="8"/>
      <c r="I85" s="8"/>
      <c r="J85" s="8"/>
    </row>
    <row r="86" hidden="1">
      <c r="A86" s="2" t="s">
        <v>13</v>
      </c>
      <c r="B86" s="2" t="s">
        <v>142</v>
      </c>
      <c r="C86" s="6">
        <v>46059.0</v>
      </c>
      <c r="D86" s="7">
        <v>0.3125</v>
      </c>
      <c r="E86" s="7">
        <v>0.5833333333333334</v>
      </c>
      <c r="F86" s="2" t="s">
        <v>44</v>
      </c>
      <c r="G86" s="2">
        <v>12.0</v>
      </c>
      <c r="H86" s="2">
        <v>12.0</v>
      </c>
      <c r="I86" s="8"/>
      <c r="J86" s="8"/>
    </row>
    <row r="87" hidden="1">
      <c r="A87" s="2" t="s">
        <v>41</v>
      </c>
      <c r="B87" s="2" t="s">
        <v>69</v>
      </c>
      <c r="C87" s="6">
        <v>46059.0</v>
      </c>
      <c r="D87" s="7">
        <v>0.3125</v>
      </c>
      <c r="E87" s="7">
        <v>0.3125</v>
      </c>
      <c r="F87" s="2" t="s">
        <v>113</v>
      </c>
      <c r="G87" s="2">
        <v>14.0</v>
      </c>
      <c r="H87" s="8"/>
      <c r="I87" s="8"/>
      <c r="J87" s="8"/>
    </row>
    <row r="88" hidden="1">
      <c r="A88" s="2" t="s">
        <v>130</v>
      </c>
      <c r="B88" s="2" t="s">
        <v>143</v>
      </c>
      <c r="C88" s="6">
        <v>46064.0</v>
      </c>
      <c r="D88" s="7">
        <v>0.6145833333333334</v>
      </c>
      <c r="E88" s="7">
        <v>0.90625</v>
      </c>
      <c r="F88" s="2" t="s">
        <v>140</v>
      </c>
      <c r="G88" s="2">
        <v>12.0</v>
      </c>
      <c r="H88" s="8"/>
      <c r="I88" s="8"/>
      <c r="J88" s="8"/>
    </row>
    <row r="89" hidden="1">
      <c r="A89" s="2" t="s">
        <v>13</v>
      </c>
      <c r="B89" s="2" t="s">
        <v>142</v>
      </c>
      <c r="C89" s="6">
        <v>46062.0</v>
      </c>
      <c r="D89" s="7">
        <v>0.3125</v>
      </c>
      <c r="E89" s="7">
        <v>0.5833333333333334</v>
      </c>
      <c r="F89" s="2" t="s">
        <v>113</v>
      </c>
      <c r="G89" s="2">
        <v>12.0</v>
      </c>
      <c r="H89" s="8"/>
      <c r="I89" s="8"/>
      <c r="J89" s="8"/>
    </row>
    <row r="90" hidden="1">
      <c r="A90" s="2" t="s">
        <v>133</v>
      </c>
      <c r="B90" s="2" t="s">
        <v>134</v>
      </c>
      <c r="C90" s="6">
        <v>46062.0</v>
      </c>
      <c r="D90" s="7">
        <v>0.3541666666666667</v>
      </c>
      <c r="E90" s="7">
        <v>0.5833333333333334</v>
      </c>
      <c r="F90" s="2" t="s">
        <v>135</v>
      </c>
      <c r="G90" s="2">
        <v>6.0</v>
      </c>
      <c r="H90" s="8"/>
      <c r="I90" s="8"/>
      <c r="J90" s="8"/>
    </row>
    <row r="91" hidden="1">
      <c r="A91" s="2" t="s">
        <v>41</v>
      </c>
      <c r="B91" s="2" t="s">
        <v>42</v>
      </c>
      <c r="C91" s="6">
        <v>46062.0</v>
      </c>
      <c r="D91" s="9">
        <v>46062.0</v>
      </c>
      <c r="E91" s="7">
        <v>0.5208333333333334</v>
      </c>
      <c r="F91" s="2" t="s">
        <v>113</v>
      </c>
      <c r="G91" s="2">
        <v>14.0</v>
      </c>
      <c r="H91" s="8"/>
      <c r="I91" s="8"/>
      <c r="J91" s="8"/>
    </row>
    <row r="92" hidden="1">
      <c r="A92" s="2" t="s">
        <v>43</v>
      </c>
      <c r="B92" s="2" t="s">
        <v>96</v>
      </c>
      <c r="C92" s="6">
        <v>46062.0</v>
      </c>
      <c r="D92" s="7">
        <v>0.6458333333333334</v>
      </c>
      <c r="E92" s="7">
        <v>0.7291666666666666</v>
      </c>
      <c r="F92" s="2" t="s">
        <v>144</v>
      </c>
      <c r="G92" s="2">
        <v>15.0</v>
      </c>
      <c r="H92" s="8"/>
      <c r="I92" s="8"/>
      <c r="J92" s="8"/>
    </row>
    <row r="93" hidden="1">
      <c r="A93" s="2" t="s">
        <v>145</v>
      </c>
      <c r="B93" s="2" t="s">
        <v>115</v>
      </c>
      <c r="C93" s="9">
        <v>46062.0</v>
      </c>
      <c r="D93" s="7">
        <v>0.5833333333333334</v>
      </c>
      <c r="E93" s="7">
        <v>0.6145833333333334</v>
      </c>
      <c r="F93" s="2" t="s">
        <v>146</v>
      </c>
      <c r="G93" s="2">
        <v>8.0</v>
      </c>
      <c r="H93" s="2">
        <v>8.0</v>
      </c>
      <c r="I93" s="8"/>
      <c r="J93" s="8"/>
    </row>
    <row r="94" hidden="1">
      <c r="A94" s="2" t="s">
        <v>29</v>
      </c>
      <c r="B94" s="2" t="s">
        <v>147</v>
      </c>
      <c r="C94" s="6">
        <v>46063.0</v>
      </c>
      <c r="D94" s="7">
        <v>0.6145833333333334</v>
      </c>
      <c r="E94" s="7">
        <v>0.75</v>
      </c>
      <c r="F94" s="2" t="s">
        <v>148</v>
      </c>
      <c r="G94" s="2">
        <v>13.0</v>
      </c>
      <c r="H94" s="8"/>
      <c r="I94" s="8"/>
      <c r="J94" s="8"/>
    </row>
    <row r="95" hidden="1">
      <c r="A95" s="2" t="s">
        <v>145</v>
      </c>
      <c r="B95" s="2" t="s">
        <v>124</v>
      </c>
      <c r="C95" s="6">
        <v>46063.0</v>
      </c>
      <c r="D95" s="7">
        <v>0.3229166666666667</v>
      </c>
      <c r="E95" s="7">
        <v>0.6944444444444444</v>
      </c>
      <c r="F95" s="2" t="s">
        <v>113</v>
      </c>
      <c r="G95" s="2">
        <v>12.0</v>
      </c>
      <c r="H95" s="2">
        <v>12.0</v>
      </c>
      <c r="I95" s="8"/>
      <c r="J95" s="8"/>
    </row>
    <row r="96" hidden="1">
      <c r="A96" s="2" t="s">
        <v>41</v>
      </c>
      <c r="B96" s="2" t="s">
        <v>42</v>
      </c>
      <c r="C96" s="6">
        <v>46063.0</v>
      </c>
      <c r="D96" s="7">
        <v>0.5208333333333334</v>
      </c>
      <c r="E96" s="8"/>
      <c r="F96" s="2" t="s">
        <v>149</v>
      </c>
      <c r="G96" s="2">
        <v>14.0</v>
      </c>
      <c r="H96" s="8"/>
      <c r="I96" s="8"/>
      <c r="J96" s="8"/>
    </row>
    <row r="97" hidden="1">
      <c r="A97" s="2" t="s">
        <v>150</v>
      </c>
      <c r="B97" s="2" t="s">
        <v>34</v>
      </c>
      <c r="C97" s="6">
        <v>46063.0</v>
      </c>
      <c r="D97" s="7">
        <v>0.5416666666666666</v>
      </c>
      <c r="E97" s="7">
        <v>0.90625</v>
      </c>
      <c r="F97" s="2" t="s">
        <v>113</v>
      </c>
      <c r="G97" s="2">
        <v>8.0</v>
      </c>
      <c r="H97" s="2">
        <v>8.0</v>
      </c>
      <c r="I97" s="8"/>
      <c r="J97" s="8"/>
    </row>
    <row r="98" hidden="1">
      <c r="A98" s="2" t="s">
        <v>150</v>
      </c>
      <c r="B98" s="2" t="s">
        <v>34</v>
      </c>
      <c r="C98" s="6">
        <v>46065.0</v>
      </c>
      <c r="D98" s="7">
        <v>0.5416666666666666</v>
      </c>
      <c r="E98" s="7">
        <v>0.90625</v>
      </c>
      <c r="F98" s="2" t="s">
        <v>113</v>
      </c>
      <c r="G98" s="2">
        <v>8.0</v>
      </c>
      <c r="H98" s="2">
        <v>8.0</v>
      </c>
      <c r="I98" s="8"/>
      <c r="J98" s="8"/>
    </row>
    <row r="99" hidden="1">
      <c r="A99" s="2" t="s">
        <v>150</v>
      </c>
      <c r="B99" s="2" t="s">
        <v>34</v>
      </c>
      <c r="C99" s="6">
        <v>46070.0</v>
      </c>
      <c r="D99" s="7">
        <v>0.5416666666666666</v>
      </c>
      <c r="E99" s="7">
        <v>0.90625</v>
      </c>
      <c r="F99" s="2" t="s">
        <v>113</v>
      </c>
      <c r="G99" s="2">
        <v>8.0</v>
      </c>
      <c r="H99" s="2">
        <v>8.0</v>
      </c>
      <c r="I99" s="8"/>
      <c r="J99" s="8"/>
    </row>
    <row r="100" hidden="1">
      <c r="A100" s="2" t="s">
        <v>103</v>
      </c>
      <c r="B100" s="2" t="s">
        <v>151</v>
      </c>
      <c r="C100" s="6">
        <v>46064.0</v>
      </c>
      <c r="D100" s="7">
        <v>0.3125</v>
      </c>
      <c r="E100" s="7">
        <v>0.5</v>
      </c>
      <c r="F100" s="2" t="s">
        <v>105</v>
      </c>
      <c r="G100" s="2">
        <v>24.0</v>
      </c>
      <c r="H100" s="8"/>
      <c r="I100" s="8"/>
      <c r="J100" s="8"/>
    </row>
    <row r="101" hidden="1">
      <c r="A101" s="2" t="s">
        <v>16</v>
      </c>
      <c r="B101" s="2" t="s">
        <v>152</v>
      </c>
      <c r="C101" s="6">
        <v>45700.0</v>
      </c>
      <c r="D101" s="7">
        <v>0.6145833333333334</v>
      </c>
      <c r="E101" s="7">
        <v>0.7291666666666666</v>
      </c>
      <c r="F101" s="2" t="s">
        <v>153</v>
      </c>
      <c r="G101" s="2">
        <v>24.0</v>
      </c>
      <c r="H101" s="8"/>
      <c r="I101" s="8"/>
      <c r="J101" s="8"/>
    </row>
    <row r="102" hidden="1">
      <c r="A102" s="2" t="s">
        <v>39</v>
      </c>
      <c r="B102" s="2" t="s">
        <v>100</v>
      </c>
      <c r="C102" s="6">
        <v>46064.0</v>
      </c>
      <c r="D102" s="7">
        <v>0.6145833333333334</v>
      </c>
      <c r="E102" s="7">
        <v>0.6145833333333334</v>
      </c>
      <c r="F102" s="2" t="s">
        <v>154</v>
      </c>
      <c r="G102" s="2">
        <v>12.0</v>
      </c>
      <c r="H102" s="2">
        <v>12.0</v>
      </c>
      <c r="I102" s="2">
        <v>12.0</v>
      </c>
      <c r="J102" s="8"/>
    </row>
    <row r="103" hidden="1">
      <c r="A103" s="2" t="s">
        <v>62</v>
      </c>
      <c r="B103" s="2" t="s">
        <v>155</v>
      </c>
      <c r="C103" s="6">
        <v>46065.0</v>
      </c>
      <c r="D103" s="7">
        <v>0.6145833333333334</v>
      </c>
      <c r="E103" s="7">
        <v>0.8958333333333334</v>
      </c>
      <c r="F103" s="2" t="s">
        <v>154</v>
      </c>
      <c r="G103" s="2">
        <v>12.0</v>
      </c>
      <c r="H103" s="2">
        <v>12.0</v>
      </c>
      <c r="I103" s="8"/>
      <c r="J103" s="8"/>
    </row>
    <row r="104" hidden="1">
      <c r="A104" s="2" t="s">
        <v>156</v>
      </c>
      <c r="B104" s="2" t="s">
        <v>25</v>
      </c>
      <c r="C104" s="6">
        <v>46064.0</v>
      </c>
      <c r="D104" s="7">
        <v>0.6472222222222223</v>
      </c>
      <c r="E104" s="7">
        <v>0.7083333333333334</v>
      </c>
      <c r="F104" s="2" t="s">
        <v>157</v>
      </c>
      <c r="G104" s="2">
        <v>12.0</v>
      </c>
      <c r="H104" s="2">
        <v>12.0</v>
      </c>
      <c r="I104" s="8"/>
      <c r="J104" s="8"/>
    </row>
    <row r="105" hidden="1">
      <c r="A105" s="2" t="s">
        <v>57</v>
      </c>
      <c r="B105" s="2" t="s">
        <v>96</v>
      </c>
      <c r="C105" s="6">
        <v>46065.0</v>
      </c>
      <c r="D105" s="7">
        <v>0.6145833333333334</v>
      </c>
      <c r="E105" s="7">
        <v>0.7222222222222222</v>
      </c>
      <c r="F105" s="2" t="s">
        <v>157</v>
      </c>
      <c r="G105" s="2">
        <v>20.0</v>
      </c>
      <c r="H105" s="2">
        <v>12.0</v>
      </c>
      <c r="I105" s="8"/>
      <c r="J105" s="8"/>
    </row>
    <row r="106" hidden="1">
      <c r="A106" s="2" t="s">
        <v>41</v>
      </c>
      <c r="B106" s="2" t="s">
        <v>42</v>
      </c>
      <c r="C106" s="6">
        <v>46065.0</v>
      </c>
      <c r="D106" s="7">
        <v>0.3125</v>
      </c>
      <c r="E106" s="7">
        <v>0.4791666666666667</v>
      </c>
      <c r="F106" s="2" t="s">
        <v>158</v>
      </c>
      <c r="G106" s="2">
        <v>24.0</v>
      </c>
      <c r="H106" s="2">
        <v>24.0</v>
      </c>
      <c r="I106" s="2">
        <v>24.0</v>
      </c>
      <c r="J106" s="8"/>
    </row>
    <row r="107" hidden="1">
      <c r="A107" s="2" t="s">
        <v>41</v>
      </c>
      <c r="B107" s="2" t="s">
        <v>69</v>
      </c>
      <c r="C107" s="6">
        <v>46065.0</v>
      </c>
      <c r="D107" s="7">
        <v>0.5208333333333334</v>
      </c>
      <c r="E107" s="7">
        <v>0.6875</v>
      </c>
      <c r="F107" s="2" t="s">
        <v>154</v>
      </c>
      <c r="G107" s="2">
        <v>14.0</v>
      </c>
      <c r="H107" s="2">
        <v>14.0</v>
      </c>
      <c r="I107" s="8"/>
      <c r="J107" s="8"/>
    </row>
    <row r="108" hidden="1">
      <c r="A108" s="2" t="s">
        <v>41</v>
      </c>
      <c r="B108" s="2" t="s">
        <v>69</v>
      </c>
      <c r="C108" s="6">
        <v>46066.0</v>
      </c>
      <c r="D108" s="7">
        <v>0.3125</v>
      </c>
      <c r="E108" s="7">
        <v>0.6875</v>
      </c>
      <c r="F108" s="2" t="s">
        <v>113</v>
      </c>
      <c r="G108" s="2">
        <v>14.0</v>
      </c>
      <c r="H108" s="8"/>
      <c r="I108" s="8"/>
      <c r="J108" s="8"/>
    </row>
    <row r="109" hidden="1">
      <c r="A109" s="2" t="s">
        <v>39</v>
      </c>
      <c r="B109" s="2" t="s">
        <v>134</v>
      </c>
      <c r="C109" s="6">
        <v>46066.0</v>
      </c>
      <c r="D109" s="7">
        <v>0.6145833333333334</v>
      </c>
      <c r="E109" s="7">
        <v>0.90625</v>
      </c>
      <c r="F109" s="2" t="s">
        <v>154</v>
      </c>
      <c r="G109" s="2">
        <v>12.0</v>
      </c>
      <c r="H109" s="2">
        <v>12.0</v>
      </c>
      <c r="I109" s="8"/>
      <c r="J109" s="8"/>
    </row>
    <row r="110" hidden="1">
      <c r="A110" s="2" t="s">
        <v>70</v>
      </c>
      <c r="B110" s="2" t="s">
        <v>147</v>
      </c>
      <c r="C110" s="6">
        <v>46066.0</v>
      </c>
      <c r="D110" s="7">
        <v>0.6145833333333334</v>
      </c>
      <c r="E110" s="8"/>
      <c r="F110" s="2" t="s">
        <v>159</v>
      </c>
      <c r="G110" s="2">
        <v>10.0</v>
      </c>
      <c r="H110" s="2">
        <v>10.0</v>
      </c>
      <c r="I110" s="8"/>
      <c r="J110" s="8"/>
    </row>
    <row r="111" hidden="1">
      <c r="A111" s="2" t="s">
        <v>160</v>
      </c>
      <c r="B111" s="2" t="s">
        <v>25</v>
      </c>
      <c r="C111" s="6">
        <v>46066.0</v>
      </c>
      <c r="D111" s="7">
        <v>0.6458333333333334</v>
      </c>
      <c r="E111" s="7">
        <v>0.7222222222222222</v>
      </c>
      <c r="F111" s="2" t="s">
        <v>161</v>
      </c>
      <c r="G111" s="2">
        <v>6.0</v>
      </c>
      <c r="H111" s="8"/>
      <c r="I111" s="8"/>
      <c r="J111" s="8"/>
    </row>
    <row r="112" hidden="1">
      <c r="A112" s="2" t="s">
        <v>162</v>
      </c>
      <c r="B112" s="8"/>
      <c r="C112" s="6">
        <v>46066.0</v>
      </c>
      <c r="D112" s="7">
        <v>0.6145833333333334</v>
      </c>
      <c r="E112" s="8"/>
      <c r="F112" s="2" t="s">
        <v>163</v>
      </c>
      <c r="G112" s="2">
        <v>1.0</v>
      </c>
      <c r="H112" s="8"/>
      <c r="I112" s="8"/>
      <c r="J112" s="8"/>
    </row>
    <row r="113" hidden="1">
      <c r="A113" s="2" t="s">
        <v>13</v>
      </c>
      <c r="B113" s="2" t="s">
        <v>14</v>
      </c>
      <c r="C113" s="6">
        <v>46069.0</v>
      </c>
      <c r="D113" s="7">
        <v>0.5125</v>
      </c>
      <c r="E113" s="7">
        <v>0.5833333333333334</v>
      </c>
      <c r="F113" s="2" t="s">
        <v>163</v>
      </c>
      <c r="G113" s="2">
        <v>12.0</v>
      </c>
      <c r="H113" s="2">
        <v>12.0</v>
      </c>
      <c r="I113" s="8"/>
      <c r="J113" s="8"/>
    </row>
    <row r="114" hidden="1">
      <c r="A114" s="2" t="s">
        <v>29</v>
      </c>
      <c r="B114" s="2" t="s">
        <v>147</v>
      </c>
      <c r="C114" s="6">
        <v>46070.0</v>
      </c>
      <c r="D114" s="7">
        <v>0.6145833333333334</v>
      </c>
      <c r="E114" s="7">
        <v>0.75</v>
      </c>
      <c r="F114" s="2" t="s">
        <v>159</v>
      </c>
      <c r="G114" s="2">
        <v>12.0</v>
      </c>
      <c r="H114" s="2"/>
      <c r="I114" s="8"/>
      <c r="J114" s="8"/>
    </row>
    <row r="115" hidden="1">
      <c r="A115" s="2" t="s">
        <v>145</v>
      </c>
      <c r="B115" s="2" t="s">
        <v>115</v>
      </c>
      <c r="C115" s="6">
        <v>46069.0</v>
      </c>
      <c r="D115" s="7">
        <v>0.6145833333333334</v>
      </c>
      <c r="E115" s="7">
        <v>0.7222222222222222</v>
      </c>
      <c r="F115" s="2" t="s">
        <v>113</v>
      </c>
      <c r="G115" s="2">
        <v>13.0</v>
      </c>
      <c r="H115" s="2">
        <v>13.0</v>
      </c>
      <c r="I115" s="8"/>
      <c r="J115" s="8"/>
    </row>
    <row r="116" hidden="1">
      <c r="A116" s="2" t="s">
        <v>41</v>
      </c>
      <c r="B116" s="2" t="s">
        <v>42</v>
      </c>
      <c r="C116" s="6">
        <v>46069.0</v>
      </c>
      <c r="D116" s="7">
        <v>0.5833333333333334</v>
      </c>
      <c r="E116" s="7">
        <v>0.6875</v>
      </c>
      <c r="F116" s="2" t="s">
        <v>164</v>
      </c>
      <c r="G116" s="2">
        <v>1.0</v>
      </c>
      <c r="H116" s="8"/>
      <c r="I116" s="8"/>
      <c r="J116" s="8"/>
    </row>
    <row r="117" hidden="1">
      <c r="A117" s="2" t="s">
        <v>39</v>
      </c>
      <c r="B117" s="2" t="s">
        <v>37</v>
      </c>
      <c r="C117" s="6">
        <v>46069.0</v>
      </c>
      <c r="D117" s="7">
        <v>0.6145833333333334</v>
      </c>
      <c r="E117" s="7">
        <v>0.7083333333333334</v>
      </c>
      <c r="F117" s="2" t="s">
        <v>154</v>
      </c>
      <c r="G117" s="2">
        <v>6.0</v>
      </c>
      <c r="H117" s="8"/>
      <c r="I117" s="8"/>
      <c r="J117" s="8"/>
    </row>
    <row r="118" hidden="1">
      <c r="A118" s="2" t="s">
        <v>130</v>
      </c>
      <c r="B118" s="2" t="s">
        <v>96</v>
      </c>
      <c r="C118" s="6">
        <v>45704.0</v>
      </c>
      <c r="D118" s="7">
        <v>0.78125</v>
      </c>
      <c r="E118" s="7">
        <v>0.90625</v>
      </c>
      <c r="F118" s="2" t="s">
        <v>5</v>
      </c>
      <c r="G118" s="2">
        <v>10.0</v>
      </c>
      <c r="H118" s="8"/>
      <c r="I118" s="8"/>
      <c r="J118" s="8"/>
    </row>
    <row r="119" hidden="1">
      <c r="A119" s="2" t="s">
        <v>62</v>
      </c>
      <c r="B119" s="2" t="s">
        <v>99</v>
      </c>
      <c r="C119" s="6">
        <v>45704.0</v>
      </c>
      <c r="D119" s="7">
        <v>0.7916666666666666</v>
      </c>
      <c r="E119" s="7">
        <v>0.875</v>
      </c>
      <c r="F119" s="2" t="s">
        <v>154</v>
      </c>
      <c r="G119" s="2">
        <v>6.0</v>
      </c>
      <c r="H119" s="2">
        <v>6.0</v>
      </c>
      <c r="I119" s="8"/>
      <c r="J119" s="8"/>
    </row>
    <row r="120" hidden="1">
      <c r="A120" s="2" t="s">
        <v>13</v>
      </c>
      <c r="B120" s="2" t="s">
        <v>14</v>
      </c>
      <c r="C120" s="6">
        <v>46070.0</v>
      </c>
      <c r="D120" s="7">
        <v>0.3125</v>
      </c>
      <c r="E120" s="7">
        <v>0.5833333333333334</v>
      </c>
      <c r="F120" s="2" t="s">
        <v>146</v>
      </c>
      <c r="G120" s="2">
        <v>12.0</v>
      </c>
      <c r="H120" s="2">
        <v>12.0</v>
      </c>
      <c r="I120" s="8"/>
      <c r="J120" s="8"/>
    </row>
    <row r="121" hidden="1">
      <c r="A121" s="2" t="s">
        <v>165</v>
      </c>
      <c r="B121" s="2" t="s">
        <v>73</v>
      </c>
      <c r="C121" s="6">
        <v>46070.0</v>
      </c>
      <c r="D121" s="7">
        <v>0.3125</v>
      </c>
      <c r="E121" s="7">
        <v>0.5833333333333334</v>
      </c>
      <c r="F121" s="2" t="s">
        <v>166</v>
      </c>
      <c r="G121" s="2">
        <v>10.0</v>
      </c>
      <c r="H121" s="2">
        <v>10.0</v>
      </c>
      <c r="I121" s="8"/>
      <c r="J121" s="8"/>
    </row>
    <row r="122" hidden="1">
      <c r="A122" s="2" t="s">
        <v>145</v>
      </c>
      <c r="B122" s="2" t="s">
        <v>124</v>
      </c>
      <c r="C122" s="6">
        <v>46070.0</v>
      </c>
      <c r="D122" s="7">
        <v>0.3263888888888889</v>
      </c>
      <c r="E122" s="7">
        <v>0.6875</v>
      </c>
      <c r="F122" s="2" t="s">
        <v>154</v>
      </c>
      <c r="G122" s="2">
        <v>10.0</v>
      </c>
      <c r="H122" s="2">
        <v>10.0</v>
      </c>
      <c r="I122" s="8"/>
      <c r="J122" s="8"/>
    </row>
    <row r="123" hidden="1">
      <c r="A123" s="2" t="s">
        <v>165</v>
      </c>
      <c r="B123" s="2" t="s">
        <v>73</v>
      </c>
      <c r="C123" s="6">
        <v>46077.0</v>
      </c>
      <c r="D123" s="7">
        <v>0.3125</v>
      </c>
      <c r="E123" s="7">
        <v>0.5833333333333334</v>
      </c>
      <c r="F123" s="2" t="s">
        <v>166</v>
      </c>
      <c r="G123" s="2">
        <v>10.0</v>
      </c>
      <c r="H123" s="2">
        <v>8.0</v>
      </c>
      <c r="I123" s="8"/>
      <c r="J123" s="8"/>
    </row>
    <row r="124" hidden="1">
      <c r="A124" s="2" t="s">
        <v>52</v>
      </c>
      <c r="B124" s="2" t="s">
        <v>167</v>
      </c>
      <c r="C124" s="6">
        <v>46071.0</v>
      </c>
      <c r="D124" s="7">
        <v>0.3125</v>
      </c>
      <c r="E124" s="7">
        <v>0.6041666666666666</v>
      </c>
      <c r="F124" s="2" t="s">
        <v>168</v>
      </c>
      <c r="G124" s="2">
        <v>1.0</v>
      </c>
      <c r="H124" s="2">
        <v>1.0</v>
      </c>
      <c r="I124" s="8"/>
      <c r="J124" s="8"/>
    </row>
    <row r="125" hidden="1">
      <c r="A125" s="2" t="s">
        <v>145</v>
      </c>
      <c r="B125" s="2" t="s">
        <v>28</v>
      </c>
      <c r="C125" s="6">
        <v>46071.0</v>
      </c>
      <c r="D125" s="7">
        <v>0.3506944444444444</v>
      </c>
      <c r="E125" s="7">
        <v>0.6041666666666666</v>
      </c>
      <c r="F125" s="2" t="s">
        <v>146</v>
      </c>
      <c r="G125" s="2">
        <v>2.0</v>
      </c>
      <c r="H125" s="2">
        <v>2.0</v>
      </c>
      <c r="I125" s="8"/>
      <c r="J125" s="8"/>
    </row>
    <row r="126" hidden="1">
      <c r="A126" s="2" t="s">
        <v>169</v>
      </c>
      <c r="B126" s="2" t="s">
        <v>134</v>
      </c>
      <c r="C126" s="6">
        <v>46071.0</v>
      </c>
      <c r="D126" s="7">
        <v>0.6145833333333334</v>
      </c>
      <c r="E126" s="7">
        <v>0.90625</v>
      </c>
      <c r="F126" s="2" t="s">
        <v>154</v>
      </c>
      <c r="G126" s="2">
        <v>11.0</v>
      </c>
      <c r="H126" s="8"/>
      <c r="I126" s="8"/>
      <c r="J126" s="8"/>
    </row>
    <row r="127" hidden="1">
      <c r="A127" s="2" t="s">
        <v>16</v>
      </c>
      <c r="B127" s="2" t="s">
        <v>152</v>
      </c>
      <c r="C127" s="6">
        <v>46072.0</v>
      </c>
      <c r="D127" s="7">
        <v>0.6666666666666666</v>
      </c>
      <c r="E127" s="7">
        <v>0.7291666666666666</v>
      </c>
      <c r="F127" s="2" t="s">
        <v>170</v>
      </c>
      <c r="G127" s="2">
        <v>20.0</v>
      </c>
      <c r="H127" s="2">
        <v>20.0</v>
      </c>
      <c r="I127" s="8"/>
      <c r="J127" s="8"/>
    </row>
    <row r="128" hidden="1">
      <c r="A128" s="2" t="s">
        <v>41</v>
      </c>
      <c r="B128" s="2" t="s">
        <v>42</v>
      </c>
      <c r="C128" s="6">
        <v>46072.0</v>
      </c>
      <c r="D128" s="7">
        <v>0.3125</v>
      </c>
      <c r="E128" s="7">
        <v>0.4791666666666667</v>
      </c>
      <c r="F128" s="2" t="s">
        <v>171</v>
      </c>
      <c r="G128" s="2">
        <v>5.0</v>
      </c>
      <c r="H128" s="8"/>
      <c r="I128" s="8"/>
      <c r="J128" s="8"/>
    </row>
    <row r="129" hidden="1">
      <c r="A129" s="2" t="s">
        <v>41</v>
      </c>
      <c r="B129" s="2" t="s">
        <v>42</v>
      </c>
      <c r="C129" s="6">
        <v>46072.0</v>
      </c>
      <c r="D129" s="7">
        <v>0.3125</v>
      </c>
      <c r="E129" s="7">
        <v>0.6875</v>
      </c>
      <c r="F129" s="2" t="s">
        <v>171</v>
      </c>
      <c r="G129" s="2">
        <v>24.0</v>
      </c>
      <c r="H129" s="8"/>
      <c r="I129" s="8"/>
      <c r="J129" s="8"/>
    </row>
    <row r="130" hidden="1">
      <c r="A130" s="2" t="s">
        <v>16</v>
      </c>
      <c r="B130" s="2" t="s">
        <v>172</v>
      </c>
      <c r="C130" s="6">
        <v>46072.0</v>
      </c>
      <c r="D130" s="7">
        <v>0.5416666666666666</v>
      </c>
      <c r="E130" s="7">
        <v>0.6041666666666666</v>
      </c>
      <c r="F130" s="2" t="s">
        <v>173</v>
      </c>
      <c r="G130" s="2">
        <v>2.0</v>
      </c>
      <c r="H130" s="2">
        <v>2.0</v>
      </c>
      <c r="I130" s="8"/>
      <c r="J130" s="8"/>
    </row>
    <row r="131" hidden="1">
      <c r="A131" s="2" t="s">
        <v>62</v>
      </c>
      <c r="B131" s="2" t="s">
        <v>37</v>
      </c>
      <c r="C131" s="6">
        <v>46072.0</v>
      </c>
      <c r="D131" s="7">
        <v>0.6145833333333334</v>
      </c>
      <c r="E131" s="7">
        <v>0.90625</v>
      </c>
      <c r="F131" s="2" t="s">
        <v>171</v>
      </c>
      <c r="G131" s="2">
        <v>12.0</v>
      </c>
      <c r="H131" s="2">
        <v>12.0</v>
      </c>
      <c r="I131" s="8"/>
      <c r="J131" s="8"/>
    </row>
    <row r="132" hidden="1">
      <c r="A132" s="2" t="s">
        <v>137</v>
      </c>
      <c r="B132" s="2" t="s">
        <v>34</v>
      </c>
      <c r="C132" s="6">
        <v>46072.0</v>
      </c>
      <c r="D132" s="7">
        <v>0.625</v>
      </c>
      <c r="E132" s="7">
        <v>0.90625</v>
      </c>
      <c r="F132" s="2" t="s">
        <v>113</v>
      </c>
      <c r="G132" s="2">
        <v>2.0</v>
      </c>
      <c r="H132" s="2">
        <v>2.0</v>
      </c>
      <c r="I132" s="8"/>
      <c r="J132" s="8"/>
    </row>
    <row r="133" hidden="1">
      <c r="A133" s="2" t="s">
        <v>91</v>
      </c>
      <c r="B133" s="2" t="s">
        <v>174</v>
      </c>
      <c r="C133" s="6">
        <v>46073.0</v>
      </c>
      <c r="D133" s="7">
        <v>0.7708333333333334</v>
      </c>
      <c r="E133" s="7">
        <v>0.90625</v>
      </c>
      <c r="F133" s="2" t="s">
        <v>31</v>
      </c>
      <c r="G133" s="2">
        <v>23.0</v>
      </c>
      <c r="H133" s="8"/>
      <c r="I133" s="8"/>
      <c r="J133" s="8"/>
    </row>
    <row r="134" hidden="1">
      <c r="A134" s="2" t="s">
        <v>41</v>
      </c>
      <c r="B134" s="2" t="s">
        <v>42</v>
      </c>
      <c r="C134" s="6">
        <v>46073.0</v>
      </c>
      <c r="D134" s="7">
        <v>0.3125</v>
      </c>
      <c r="E134" s="7">
        <v>0.6875</v>
      </c>
      <c r="F134" s="2" t="s">
        <v>149</v>
      </c>
      <c r="G134" s="2">
        <v>24.0</v>
      </c>
      <c r="H134" s="8"/>
      <c r="I134" s="8"/>
      <c r="J134" s="8"/>
    </row>
    <row r="135" hidden="1">
      <c r="A135" s="2" t="s">
        <v>130</v>
      </c>
      <c r="B135" s="2" t="s">
        <v>96</v>
      </c>
      <c r="C135" s="6">
        <v>46076.0</v>
      </c>
      <c r="D135" s="7">
        <v>0.7395833333333334</v>
      </c>
      <c r="E135" s="7">
        <v>0.90625</v>
      </c>
      <c r="F135" s="2" t="s">
        <v>140</v>
      </c>
      <c r="G135" s="2">
        <v>15.0</v>
      </c>
      <c r="H135" s="8"/>
      <c r="I135" s="8"/>
      <c r="J135" s="8"/>
    </row>
    <row r="136" hidden="1">
      <c r="A136" s="2" t="s">
        <v>16</v>
      </c>
      <c r="B136" s="2" t="s">
        <v>17</v>
      </c>
      <c r="C136" s="6">
        <v>46078.0</v>
      </c>
      <c r="D136" s="7">
        <v>0.5</v>
      </c>
      <c r="E136" s="7">
        <v>0.6041666666666666</v>
      </c>
      <c r="F136" s="2" t="s">
        <v>175</v>
      </c>
      <c r="G136" s="2">
        <v>22.0</v>
      </c>
      <c r="H136" s="8"/>
      <c r="I136" s="8"/>
      <c r="J136" s="8"/>
    </row>
    <row r="137" hidden="1">
      <c r="A137" s="2" t="s">
        <v>39</v>
      </c>
      <c r="B137" s="2" t="s">
        <v>134</v>
      </c>
      <c r="C137" s="6">
        <v>46073.0</v>
      </c>
      <c r="D137" s="7">
        <v>0.6145833333333334</v>
      </c>
      <c r="E137" s="7">
        <v>0.7083333333333334</v>
      </c>
      <c r="F137" s="2" t="s">
        <v>176</v>
      </c>
      <c r="G137" s="2">
        <v>12.0</v>
      </c>
      <c r="H137" s="8"/>
      <c r="I137" s="8"/>
      <c r="J137" s="8"/>
    </row>
    <row r="138" hidden="1">
      <c r="A138" s="2" t="s">
        <v>130</v>
      </c>
      <c r="B138" s="2" t="s">
        <v>30</v>
      </c>
      <c r="C138" s="6">
        <v>46079.0</v>
      </c>
      <c r="D138" s="7">
        <v>0.6145833333333334</v>
      </c>
      <c r="E138" s="7">
        <v>0.90625</v>
      </c>
      <c r="F138" s="2" t="s">
        <v>140</v>
      </c>
      <c r="G138" s="2">
        <v>24.0</v>
      </c>
      <c r="H138" s="8"/>
      <c r="I138" s="8"/>
      <c r="J138" s="8"/>
    </row>
    <row r="139" hidden="1">
      <c r="A139" s="2" t="s">
        <v>130</v>
      </c>
      <c r="B139" s="2" t="s">
        <v>30</v>
      </c>
      <c r="C139" s="6">
        <v>46086.0</v>
      </c>
      <c r="D139" s="7">
        <v>0.6145833333333334</v>
      </c>
      <c r="E139" s="7">
        <v>0.90625</v>
      </c>
      <c r="F139" s="2" t="s">
        <v>140</v>
      </c>
      <c r="G139" s="2">
        <v>24.0</v>
      </c>
      <c r="H139" s="8"/>
      <c r="I139" s="8"/>
      <c r="J139" s="8"/>
    </row>
    <row r="140" hidden="1">
      <c r="A140" s="2" t="s">
        <v>130</v>
      </c>
      <c r="B140" s="2" t="s">
        <v>30</v>
      </c>
      <c r="C140" s="6">
        <v>46093.0</v>
      </c>
      <c r="D140" s="7">
        <v>0.6145833333333334</v>
      </c>
      <c r="E140" s="7">
        <v>0.90625</v>
      </c>
      <c r="F140" s="2" t="s">
        <v>140</v>
      </c>
      <c r="G140" s="2">
        <v>24.0</v>
      </c>
      <c r="H140" s="8"/>
      <c r="I140" s="8"/>
      <c r="J140" s="8"/>
    </row>
    <row r="141" hidden="1">
      <c r="A141" s="2" t="s">
        <v>13</v>
      </c>
      <c r="B141" s="2" t="s">
        <v>14</v>
      </c>
      <c r="C141" s="6">
        <v>46076.0</v>
      </c>
      <c r="D141" s="7">
        <v>0.3125</v>
      </c>
      <c r="E141" s="7">
        <v>0.5833333333333334</v>
      </c>
      <c r="F141" s="2" t="s">
        <v>63</v>
      </c>
      <c r="G141" s="2">
        <v>24.0</v>
      </c>
      <c r="H141" s="8"/>
      <c r="I141" s="8"/>
      <c r="J141" s="8"/>
    </row>
    <row r="142" hidden="1">
      <c r="A142" s="2" t="s">
        <v>52</v>
      </c>
      <c r="B142" s="2" t="s">
        <v>86</v>
      </c>
      <c r="C142" s="6">
        <v>46076.0</v>
      </c>
      <c r="D142" s="7">
        <v>0.3125</v>
      </c>
      <c r="E142" s="7">
        <v>0.6041666666666666</v>
      </c>
      <c r="F142" s="2" t="s">
        <v>177</v>
      </c>
      <c r="G142" s="2">
        <v>1.0</v>
      </c>
      <c r="H142" s="2">
        <v>1.0</v>
      </c>
      <c r="I142" s="8"/>
      <c r="J142" s="8"/>
    </row>
    <row r="143" hidden="1">
      <c r="A143" s="2" t="s">
        <v>41</v>
      </c>
      <c r="B143" s="2" t="s">
        <v>69</v>
      </c>
      <c r="C143" s="6">
        <v>46076.0</v>
      </c>
      <c r="D143" s="7">
        <v>0.5208333333333334</v>
      </c>
      <c r="E143" s="7">
        <v>0.6875</v>
      </c>
      <c r="F143" s="2" t="s">
        <v>178</v>
      </c>
      <c r="G143" s="2">
        <v>1.0</v>
      </c>
      <c r="H143" s="8"/>
      <c r="I143" s="8"/>
      <c r="J143" s="8"/>
    </row>
    <row r="144" hidden="1">
      <c r="A144" s="2" t="s">
        <v>43</v>
      </c>
      <c r="B144" s="2" t="s">
        <v>17</v>
      </c>
      <c r="C144" s="6">
        <v>46077.0</v>
      </c>
      <c r="D144" s="7">
        <v>0.3125</v>
      </c>
      <c r="E144" s="7">
        <v>0.4652777777777778</v>
      </c>
      <c r="F144" s="2" t="s">
        <v>179</v>
      </c>
      <c r="G144" s="2">
        <v>22.0</v>
      </c>
      <c r="H144" s="8"/>
      <c r="I144" s="8"/>
      <c r="J144" s="8"/>
    </row>
    <row r="145" hidden="1">
      <c r="A145" s="2" t="s">
        <v>126</v>
      </c>
      <c r="B145" s="2" t="s">
        <v>115</v>
      </c>
      <c r="C145" s="6">
        <v>46077.0</v>
      </c>
      <c r="D145" s="7">
        <v>0.6145833333333334</v>
      </c>
      <c r="E145" s="7">
        <v>0.7222222222222222</v>
      </c>
      <c r="F145" s="2" t="s">
        <v>140</v>
      </c>
      <c r="G145" s="2">
        <v>22.0</v>
      </c>
      <c r="H145" s="2">
        <v>22.0</v>
      </c>
      <c r="I145" s="8"/>
      <c r="J145" s="8"/>
    </row>
    <row r="146" hidden="1">
      <c r="A146" s="2" t="s">
        <v>126</v>
      </c>
      <c r="B146" s="2" t="s">
        <v>14</v>
      </c>
      <c r="C146" s="6">
        <v>46079.0</v>
      </c>
      <c r="D146" s="7">
        <v>0.5069444444444444</v>
      </c>
      <c r="E146" s="7">
        <v>0.6041666666666666</v>
      </c>
      <c r="F146" s="2" t="s">
        <v>140</v>
      </c>
      <c r="G146" s="2">
        <v>15.0</v>
      </c>
      <c r="H146" s="8"/>
      <c r="I146" s="8"/>
      <c r="J146" s="8"/>
    </row>
    <row r="147" hidden="1">
      <c r="A147" s="2" t="s">
        <v>29</v>
      </c>
      <c r="B147" s="2" t="s">
        <v>147</v>
      </c>
      <c r="C147" s="6">
        <v>46077.0</v>
      </c>
      <c r="D147" s="7">
        <v>0.6145833333333334</v>
      </c>
      <c r="E147" s="7">
        <v>0.75</v>
      </c>
      <c r="F147" s="2" t="s">
        <v>180</v>
      </c>
      <c r="G147" s="2">
        <v>6.0</v>
      </c>
      <c r="H147" s="8"/>
      <c r="I147" s="8"/>
      <c r="J147" s="8"/>
    </row>
    <row r="148" hidden="1">
      <c r="A148" s="2" t="s">
        <v>57</v>
      </c>
      <c r="B148" s="2" t="s">
        <v>96</v>
      </c>
      <c r="C148" s="6">
        <v>46077.0</v>
      </c>
      <c r="D148" s="7">
        <v>0.6145833333333334</v>
      </c>
      <c r="E148" s="7">
        <v>0.7291666666666666</v>
      </c>
      <c r="F148" s="2" t="s">
        <v>148</v>
      </c>
      <c r="G148" s="2">
        <v>19.0</v>
      </c>
      <c r="H148" s="8"/>
      <c r="I148" s="8"/>
      <c r="J148" s="8"/>
    </row>
    <row r="149" hidden="1">
      <c r="A149" s="2" t="s">
        <v>150</v>
      </c>
      <c r="B149" s="2" t="s">
        <v>34</v>
      </c>
      <c r="C149" s="6">
        <v>46076.0</v>
      </c>
      <c r="D149" s="7">
        <v>0.625</v>
      </c>
      <c r="E149" s="7">
        <v>0.875</v>
      </c>
      <c r="F149" s="2" t="s">
        <v>146</v>
      </c>
      <c r="G149" s="2">
        <v>2.0</v>
      </c>
      <c r="H149" s="2">
        <v>2.0</v>
      </c>
      <c r="I149" s="8"/>
      <c r="J149" s="8"/>
    </row>
    <row r="150" hidden="1">
      <c r="A150" s="2" t="s">
        <v>13</v>
      </c>
      <c r="B150" s="2" t="s">
        <v>14</v>
      </c>
      <c r="C150" s="6">
        <v>46077.0</v>
      </c>
      <c r="D150" s="7">
        <v>0.3125</v>
      </c>
      <c r="E150" s="7">
        <v>0.5833333333333334</v>
      </c>
      <c r="F150" s="2" t="s">
        <v>146</v>
      </c>
      <c r="G150" s="2">
        <v>12.0</v>
      </c>
      <c r="H150" s="8"/>
      <c r="I150" s="8"/>
      <c r="J150" s="8"/>
    </row>
    <row r="151" hidden="1">
      <c r="A151" s="2" t="s">
        <v>181</v>
      </c>
      <c r="B151" s="2" t="s">
        <v>182</v>
      </c>
      <c r="C151" s="6">
        <v>46077.0</v>
      </c>
      <c r="D151" s="7">
        <v>0.6145833333333334</v>
      </c>
      <c r="E151" s="7">
        <v>0.7083333333333334</v>
      </c>
      <c r="F151" s="2" t="s">
        <v>146</v>
      </c>
      <c r="G151" s="2">
        <v>12.0</v>
      </c>
      <c r="H151" s="8"/>
      <c r="I151" s="8"/>
      <c r="J151" s="8"/>
    </row>
    <row r="152" hidden="1">
      <c r="A152" s="2" t="s">
        <v>126</v>
      </c>
      <c r="B152" s="2" t="s">
        <v>183</v>
      </c>
      <c r="C152" s="6">
        <v>45712.0</v>
      </c>
      <c r="D152" s="7">
        <v>0.36527777777777776</v>
      </c>
      <c r="E152" s="7">
        <v>0.4722222222222222</v>
      </c>
      <c r="F152" s="2" t="s">
        <v>184</v>
      </c>
      <c r="G152" s="2">
        <v>3.0</v>
      </c>
      <c r="H152" s="2">
        <v>3.0</v>
      </c>
      <c r="I152" s="8"/>
      <c r="J152" s="8"/>
    </row>
    <row r="153" hidden="1">
      <c r="A153" s="2" t="s">
        <v>145</v>
      </c>
      <c r="B153" s="2" t="s">
        <v>124</v>
      </c>
      <c r="C153" s="6">
        <v>46077.0</v>
      </c>
      <c r="D153" s="7">
        <v>0.3125</v>
      </c>
      <c r="E153" s="7">
        <v>0.6875</v>
      </c>
      <c r="F153" s="2" t="s">
        <v>146</v>
      </c>
      <c r="G153" s="2">
        <v>7.0</v>
      </c>
      <c r="H153" s="2">
        <v>7.0</v>
      </c>
      <c r="I153" s="8"/>
      <c r="J153" s="8"/>
    </row>
    <row r="154" hidden="1">
      <c r="A154" s="2" t="s">
        <v>41</v>
      </c>
      <c r="B154" s="2" t="s">
        <v>69</v>
      </c>
      <c r="C154" s="6">
        <v>46077.0</v>
      </c>
      <c r="D154" s="7">
        <v>0.5208333333333334</v>
      </c>
      <c r="E154" s="7">
        <v>0.6875</v>
      </c>
      <c r="F154" s="2" t="s">
        <v>146</v>
      </c>
      <c r="G154" s="2">
        <v>10.0</v>
      </c>
      <c r="H154" s="8"/>
      <c r="I154" s="8"/>
      <c r="J154" s="8"/>
    </row>
    <row r="155" hidden="1">
      <c r="A155" s="2" t="s">
        <v>150</v>
      </c>
      <c r="B155" s="2" t="s">
        <v>34</v>
      </c>
      <c r="C155" s="6">
        <v>46077.0</v>
      </c>
      <c r="D155" s="7">
        <v>0.625</v>
      </c>
      <c r="E155" s="7">
        <v>0.875</v>
      </c>
      <c r="F155" s="2" t="s">
        <v>146</v>
      </c>
      <c r="G155" s="2">
        <v>4.0</v>
      </c>
      <c r="H155" s="2">
        <v>4.0</v>
      </c>
      <c r="I155" s="8"/>
      <c r="J155" s="8"/>
    </row>
    <row r="156" hidden="1">
      <c r="A156" s="2" t="s">
        <v>145</v>
      </c>
      <c r="B156" s="2" t="s">
        <v>28</v>
      </c>
      <c r="C156" s="6">
        <v>46078.0</v>
      </c>
      <c r="D156" s="7">
        <v>0.3125</v>
      </c>
      <c r="E156" s="7">
        <v>0.6041666666666666</v>
      </c>
      <c r="F156" s="2" t="s">
        <v>146</v>
      </c>
      <c r="G156" s="2">
        <v>12.0</v>
      </c>
      <c r="H156" s="2">
        <v>12.0</v>
      </c>
      <c r="I156" s="8"/>
      <c r="J156" s="8"/>
    </row>
    <row r="157" hidden="1">
      <c r="A157" s="2" t="s">
        <v>185</v>
      </c>
      <c r="B157" s="2" t="s">
        <v>134</v>
      </c>
      <c r="C157" s="6">
        <v>46078.0</v>
      </c>
      <c r="D157" s="7">
        <v>0.6145833333333334</v>
      </c>
      <c r="E157" s="7">
        <v>0.90625</v>
      </c>
      <c r="F157" s="2" t="s">
        <v>186</v>
      </c>
      <c r="G157" s="2">
        <v>12.0</v>
      </c>
      <c r="H157" s="8"/>
      <c r="I157" s="8"/>
      <c r="J157" s="8"/>
    </row>
    <row r="158" hidden="1">
      <c r="A158" s="2" t="s">
        <v>16</v>
      </c>
      <c r="B158" s="2" t="s">
        <v>17</v>
      </c>
      <c r="C158" s="6">
        <v>45714.0</v>
      </c>
      <c r="D158" s="7">
        <v>0.3125</v>
      </c>
      <c r="E158" s="7">
        <v>0.4652777777777778</v>
      </c>
      <c r="F158" s="2" t="s">
        <v>146</v>
      </c>
      <c r="G158" s="2">
        <v>5.0</v>
      </c>
      <c r="H158" s="8"/>
      <c r="I158" s="8"/>
      <c r="J158" s="8"/>
    </row>
    <row r="159" hidden="1">
      <c r="A159" s="2" t="s">
        <v>187</v>
      </c>
      <c r="B159" s="2" t="s">
        <v>42</v>
      </c>
      <c r="C159" s="6">
        <v>46079.0</v>
      </c>
      <c r="D159" s="7">
        <v>0.3333333333333333</v>
      </c>
      <c r="E159" s="7">
        <v>0.4791666666666667</v>
      </c>
      <c r="F159" s="2" t="s">
        <v>175</v>
      </c>
      <c r="G159" s="2">
        <v>1.0</v>
      </c>
      <c r="H159" s="8"/>
      <c r="I159" s="8"/>
      <c r="J159" s="8"/>
    </row>
    <row r="160" hidden="1">
      <c r="A160" s="2" t="s">
        <v>188</v>
      </c>
      <c r="B160" s="2" t="s">
        <v>42</v>
      </c>
      <c r="C160" s="6">
        <v>46079.0</v>
      </c>
      <c r="D160" s="7">
        <v>0.5138888888888888</v>
      </c>
      <c r="E160" s="7">
        <v>0.6875</v>
      </c>
      <c r="F160" s="2" t="s">
        <v>113</v>
      </c>
      <c r="G160" s="2">
        <v>15.0</v>
      </c>
      <c r="H160" s="8"/>
      <c r="I160" s="8"/>
      <c r="J160" s="8"/>
    </row>
    <row r="161" hidden="1">
      <c r="A161" s="2" t="s">
        <v>43</v>
      </c>
      <c r="B161" s="2" t="s">
        <v>17</v>
      </c>
      <c r="C161" s="6">
        <v>46079.0</v>
      </c>
      <c r="D161" s="7">
        <v>0.5208333333333334</v>
      </c>
      <c r="E161" s="7">
        <v>0.6041666666666666</v>
      </c>
      <c r="F161" s="2" t="s">
        <v>189</v>
      </c>
      <c r="G161" s="2">
        <v>15.0</v>
      </c>
      <c r="H161" s="8"/>
      <c r="I161" s="8"/>
      <c r="J161" s="8"/>
    </row>
    <row r="162" hidden="1">
      <c r="A162" s="2" t="s">
        <v>16</v>
      </c>
      <c r="B162" s="2" t="s">
        <v>152</v>
      </c>
      <c r="C162" s="6" t="s">
        <v>190</v>
      </c>
      <c r="D162" s="7">
        <v>0.625</v>
      </c>
      <c r="E162" s="7">
        <v>0.7083333333333334</v>
      </c>
      <c r="F162" s="2" t="s">
        <v>184</v>
      </c>
      <c r="G162" s="2">
        <v>5.0</v>
      </c>
      <c r="H162" s="8"/>
      <c r="I162" s="8"/>
      <c r="J162" s="8"/>
    </row>
    <row r="163" hidden="1">
      <c r="A163" s="2" t="s">
        <v>191</v>
      </c>
      <c r="B163" s="2" t="s">
        <v>147</v>
      </c>
      <c r="C163" s="6">
        <v>45714.0</v>
      </c>
      <c r="D163" s="7">
        <v>0.7638888888888888</v>
      </c>
      <c r="E163" s="7">
        <v>0.90625</v>
      </c>
      <c r="F163" s="2" t="s">
        <v>192</v>
      </c>
      <c r="G163" s="2">
        <v>12.0</v>
      </c>
      <c r="H163" s="2">
        <v>12.0</v>
      </c>
      <c r="I163" s="8"/>
      <c r="J163" s="8"/>
    </row>
    <row r="164" hidden="1">
      <c r="A164" s="2" t="s">
        <v>193</v>
      </c>
      <c r="B164" s="2" t="s">
        <v>37</v>
      </c>
      <c r="C164" s="6">
        <v>46079.0</v>
      </c>
      <c r="D164" s="7">
        <v>0.7708333333333334</v>
      </c>
      <c r="E164" s="7">
        <v>0.90625</v>
      </c>
      <c r="F164" s="2" t="s">
        <v>146</v>
      </c>
      <c r="G164" s="2">
        <v>5.0</v>
      </c>
      <c r="H164" s="2"/>
      <c r="I164" s="8"/>
      <c r="J164" s="8"/>
    </row>
    <row r="165" hidden="1">
      <c r="A165" s="2" t="s">
        <v>41</v>
      </c>
      <c r="B165" s="2" t="s">
        <v>42</v>
      </c>
      <c r="C165" s="6">
        <v>46080.0</v>
      </c>
      <c r="D165" s="7">
        <v>0.3125</v>
      </c>
      <c r="E165" s="7">
        <v>0.6875</v>
      </c>
      <c r="F165" s="2" t="s">
        <v>146</v>
      </c>
      <c r="G165" s="2">
        <v>12.0</v>
      </c>
      <c r="H165" s="8"/>
      <c r="I165" s="8"/>
      <c r="J165" s="8"/>
    </row>
    <row r="166" hidden="1">
      <c r="A166" s="2" t="s">
        <v>194</v>
      </c>
      <c r="B166" s="2" t="s">
        <v>86</v>
      </c>
      <c r="C166" s="9">
        <v>46080.0</v>
      </c>
      <c r="D166" s="7">
        <v>0.3958333333333333</v>
      </c>
      <c r="E166" s="7">
        <v>0.6041666666666666</v>
      </c>
      <c r="F166" s="2" t="s">
        <v>44</v>
      </c>
      <c r="G166" s="2">
        <v>5.0</v>
      </c>
      <c r="H166" s="2"/>
      <c r="I166" s="8"/>
      <c r="J166" s="8"/>
    </row>
    <row r="167" hidden="1">
      <c r="A167" s="2" t="s">
        <v>59</v>
      </c>
      <c r="B167" s="2" t="s">
        <v>60</v>
      </c>
      <c r="C167" s="9">
        <v>46080.0</v>
      </c>
      <c r="D167" s="7">
        <v>0.6145833333333334</v>
      </c>
      <c r="E167" s="7">
        <v>0.90625</v>
      </c>
      <c r="F167" s="2" t="s">
        <v>61</v>
      </c>
      <c r="G167" s="2">
        <v>20.0</v>
      </c>
      <c r="H167" s="8"/>
      <c r="I167" s="8"/>
      <c r="J167" s="8"/>
    </row>
    <row r="168" hidden="1">
      <c r="A168" s="2" t="s">
        <v>150</v>
      </c>
      <c r="B168" s="2" t="s">
        <v>37</v>
      </c>
      <c r="C168" s="6">
        <v>46080.0</v>
      </c>
      <c r="D168" s="7">
        <v>0.625</v>
      </c>
      <c r="E168" s="7">
        <v>0.875</v>
      </c>
      <c r="F168" s="2" t="s">
        <v>146</v>
      </c>
      <c r="G168" s="2">
        <v>4.0</v>
      </c>
      <c r="H168" s="2">
        <v>4.0</v>
      </c>
      <c r="I168" s="8"/>
      <c r="J168" s="8"/>
    </row>
    <row r="169" hidden="1">
      <c r="A169" s="2" t="s">
        <v>13</v>
      </c>
      <c r="B169" s="2" t="s">
        <v>14</v>
      </c>
      <c r="C169" s="6">
        <v>46083.0</v>
      </c>
      <c r="D169" s="7">
        <v>0.3125</v>
      </c>
      <c r="E169" s="7">
        <v>0.5833333333333334</v>
      </c>
      <c r="F169" s="2" t="s">
        <v>146</v>
      </c>
      <c r="G169" s="2">
        <v>12.0</v>
      </c>
      <c r="H169" s="2"/>
      <c r="I169" s="8"/>
      <c r="J169" s="8"/>
    </row>
    <row r="170" hidden="1">
      <c r="A170" s="2" t="s">
        <v>122</v>
      </c>
      <c r="B170" s="2" t="s">
        <v>172</v>
      </c>
      <c r="C170" s="6">
        <v>46083.0</v>
      </c>
      <c r="D170" s="7">
        <v>0.3125</v>
      </c>
      <c r="E170" s="7">
        <v>0.5</v>
      </c>
      <c r="F170" s="2" t="s">
        <v>146</v>
      </c>
      <c r="G170" s="2">
        <v>6.0</v>
      </c>
      <c r="H170" s="2">
        <v>6.0</v>
      </c>
      <c r="I170" s="8"/>
      <c r="J170" s="8"/>
    </row>
    <row r="171" hidden="1">
      <c r="A171" s="2" t="s">
        <v>21</v>
      </c>
      <c r="B171" s="2" t="s">
        <v>124</v>
      </c>
      <c r="C171" s="6">
        <v>46083.0</v>
      </c>
      <c r="D171" s="7">
        <v>0.3125</v>
      </c>
      <c r="E171" s="7">
        <v>0.5</v>
      </c>
      <c r="F171" s="2" t="s">
        <v>158</v>
      </c>
      <c r="G171" s="2">
        <v>4.0</v>
      </c>
      <c r="H171" s="2">
        <v>4.0</v>
      </c>
      <c r="I171" s="8"/>
      <c r="J171" s="8"/>
    </row>
    <row r="172" hidden="1">
      <c r="A172" s="2" t="s">
        <v>21</v>
      </c>
      <c r="B172" s="2" t="s">
        <v>73</v>
      </c>
      <c r="C172" s="6">
        <v>46084.0</v>
      </c>
      <c r="D172" s="7">
        <v>0.3125</v>
      </c>
      <c r="E172" s="7">
        <v>0.5833333333333334</v>
      </c>
      <c r="F172" s="2" t="s">
        <v>166</v>
      </c>
      <c r="G172" s="2">
        <v>10.0</v>
      </c>
      <c r="H172" s="8"/>
      <c r="I172" s="8"/>
      <c r="J172" s="8"/>
    </row>
    <row r="173" hidden="1">
      <c r="A173" s="2" t="s">
        <v>39</v>
      </c>
      <c r="B173" s="2" t="s">
        <v>155</v>
      </c>
      <c r="C173" s="6">
        <v>46083.0</v>
      </c>
      <c r="D173" s="7">
        <v>0.6145833333333334</v>
      </c>
      <c r="E173" s="7">
        <v>0.7083333333333334</v>
      </c>
      <c r="F173" s="2" t="s">
        <v>159</v>
      </c>
      <c r="G173" s="2">
        <v>10.0</v>
      </c>
      <c r="H173" s="8"/>
      <c r="I173" s="8"/>
      <c r="J173" s="8"/>
    </row>
    <row r="174" hidden="1">
      <c r="A174" s="2" t="s">
        <v>130</v>
      </c>
      <c r="B174" s="2" t="s">
        <v>141</v>
      </c>
      <c r="C174" s="6">
        <v>46083.0</v>
      </c>
      <c r="D174" s="7">
        <v>0.6145833333333334</v>
      </c>
      <c r="E174" s="7">
        <v>0.7083333333333334</v>
      </c>
      <c r="F174" s="2" t="s">
        <v>140</v>
      </c>
      <c r="G174" s="2">
        <v>15.0</v>
      </c>
      <c r="H174" s="8"/>
      <c r="I174" s="8"/>
      <c r="J174" s="8"/>
    </row>
    <row r="175" hidden="1">
      <c r="A175" s="2" t="s">
        <v>130</v>
      </c>
      <c r="B175" s="2" t="s">
        <v>141</v>
      </c>
      <c r="C175" s="6">
        <v>46090.0</v>
      </c>
      <c r="D175" s="7">
        <v>0.6145833333333334</v>
      </c>
      <c r="E175" s="7">
        <v>0.7083333333333334</v>
      </c>
      <c r="F175" s="2" t="s">
        <v>140</v>
      </c>
      <c r="G175" s="2">
        <v>15.0</v>
      </c>
      <c r="H175" s="8"/>
      <c r="I175" s="8"/>
      <c r="J175" s="8"/>
    </row>
    <row r="176" hidden="1">
      <c r="A176" s="2" t="s">
        <v>130</v>
      </c>
      <c r="B176" s="2" t="s">
        <v>141</v>
      </c>
      <c r="C176" s="6">
        <v>46097.0</v>
      </c>
      <c r="D176" s="7">
        <v>0.6145833333333334</v>
      </c>
      <c r="E176" s="7">
        <v>0.7083333333333334</v>
      </c>
      <c r="F176" s="2" t="s">
        <v>140</v>
      </c>
      <c r="G176" s="2">
        <v>15.0</v>
      </c>
      <c r="H176" s="8"/>
      <c r="I176" s="8"/>
      <c r="J176" s="8"/>
    </row>
    <row r="177" hidden="1">
      <c r="A177" s="2" t="s">
        <v>130</v>
      </c>
      <c r="B177" s="2" t="s">
        <v>141</v>
      </c>
      <c r="C177" s="6">
        <v>46104.0</v>
      </c>
      <c r="D177" s="7">
        <v>0.6145833333333334</v>
      </c>
      <c r="E177" s="7">
        <v>0.7083333333333334</v>
      </c>
      <c r="F177" s="2" t="s">
        <v>140</v>
      </c>
      <c r="G177" s="2">
        <v>15.0</v>
      </c>
      <c r="H177" s="8"/>
      <c r="I177" s="8"/>
      <c r="J177" s="8"/>
    </row>
    <row r="178" hidden="1">
      <c r="A178" s="2" t="s">
        <v>130</v>
      </c>
      <c r="B178" s="2" t="s">
        <v>141</v>
      </c>
      <c r="C178" s="6">
        <v>46111.0</v>
      </c>
      <c r="D178" s="7">
        <v>0.6145833333333334</v>
      </c>
      <c r="E178" s="7">
        <v>0.7083333333333334</v>
      </c>
      <c r="F178" s="2" t="s">
        <v>140</v>
      </c>
      <c r="G178" s="2">
        <v>15.0</v>
      </c>
      <c r="H178" s="8"/>
      <c r="I178" s="8"/>
      <c r="J178" s="8"/>
    </row>
    <row r="179" hidden="1">
      <c r="A179" s="2" t="s">
        <v>130</v>
      </c>
      <c r="B179" s="2" t="s">
        <v>141</v>
      </c>
      <c r="C179" s="6">
        <v>46118.0</v>
      </c>
      <c r="D179" s="7">
        <v>0.6145833333333334</v>
      </c>
      <c r="E179" s="7">
        <v>0.7083333333333334</v>
      </c>
      <c r="F179" s="2" t="s">
        <v>140</v>
      </c>
      <c r="G179" s="2">
        <v>15.0</v>
      </c>
      <c r="H179" s="8"/>
      <c r="I179" s="8"/>
      <c r="J179" s="8"/>
    </row>
    <row r="180" hidden="1">
      <c r="A180" s="2" t="s">
        <v>103</v>
      </c>
      <c r="B180" s="8"/>
      <c r="C180" s="6">
        <v>46084.0</v>
      </c>
      <c r="D180" s="7">
        <v>0.6145833333333334</v>
      </c>
      <c r="E180" s="2">
        <v>1545.0</v>
      </c>
      <c r="F180" s="2" t="s">
        <v>195</v>
      </c>
      <c r="G180" s="2">
        <v>22.0</v>
      </c>
      <c r="H180" s="8"/>
      <c r="I180" s="8"/>
      <c r="J180" s="8"/>
    </row>
    <row r="181" hidden="1">
      <c r="A181" s="2" t="s">
        <v>13</v>
      </c>
      <c r="B181" s="2" t="s">
        <v>14</v>
      </c>
      <c r="C181" s="6">
        <v>46084.0</v>
      </c>
      <c r="D181" s="7">
        <v>0.3125</v>
      </c>
      <c r="E181" s="7">
        <v>0.5833333333333334</v>
      </c>
      <c r="F181" s="2" t="s">
        <v>146</v>
      </c>
      <c r="G181" s="2">
        <v>14.0</v>
      </c>
      <c r="H181" s="8"/>
      <c r="I181" s="8"/>
      <c r="J181" s="8"/>
    </row>
    <row r="182" hidden="1">
      <c r="A182" s="2" t="s">
        <v>145</v>
      </c>
      <c r="B182" s="2" t="s">
        <v>124</v>
      </c>
      <c r="C182" s="6">
        <v>46084.0</v>
      </c>
      <c r="D182" s="7">
        <v>0.3333333333333333</v>
      </c>
      <c r="E182" s="7">
        <v>0.6875</v>
      </c>
      <c r="F182" s="2" t="s">
        <v>146</v>
      </c>
      <c r="G182" s="2">
        <v>8.0</v>
      </c>
      <c r="H182" s="8"/>
      <c r="I182" s="8"/>
      <c r="J182" s="8"/>
    </row>
    <row r="183" hidden="1">
      <c r="A183" s="2" t="s">
        <v>126</v>
      </c>
      <c r="B183" s="2" t="s">
        <v>42</v>
      </c>
      <c r="C183" s="6">
        <v>46084.0</v>
      </c>
      <c r="D183" s="7">
        <v>0.38263888888888886</v>
      </c>
      <c r="E183" s="7">
        <v>0.4583333333333333</v>
      </c>
      <c r="F183" s="2" t="s">
        <v>196</v>
      </c>
      <c r="G183" s="2">
        <v>10.0</v>
      </c>
      <c r="H183" s="2">
        <v>10.0</v>
      </c>
      <c r="I183" s="8"/>
      <c r="J183" s="8"/>
    </row>
    <row r="184" hidden="1">
      <c r="A184" s="2" t="s">
        <v>126</v>
      </c>
      <c r="B184" s="2" t="s">
        <v>37</v>
      </c>
      <c r="C184" s="6">
        <v>46084.0</v>
      </c>
      <c r="D184" s="7">
        <v>0.5208333333333334</v>
      </c>
      <c r="E184" s="8"/>
      <c r="F184" s="2" t="s">
        <v>196</v>
      </c>
      <c r="G184" s="2">
        <v>15.0</v>
      </c>
      <c r="H184" s="8"/>
      <c r="I184" s="8"/>
      <c r="J184" s="8"/>
    </row>
    <row r="185" hidden="1">
      <c r="A185" s="2" t="s">
        <v>41</v>
      </c>
      <c r="B185" s="2" t="s">
        <v>42</v>
      </c>
      <c r="C185" s="6">
        <v>46084.0</v>
      </c>
      <c r="D185" s="7">
        <v>0.5138888888888888</v>
      </c>
      <c r="E185" s="7">
        <v>0.6875</v>
      </c>
      <c r="F185" s="2" t="s">
        <v>146</v>
      </c>
      <c r="G185" s="2">
        <v>11.0</v>
      </c>
      <c r="H185" s="8"/>
      <c r="I185" s="8"/>
      <c r="J185" s="8"/>
    </row>
    <row r="186" hidden="1">
      <c r="A186" s="2" t="s">
        <v>16</v>
      </c>
      <c r="B186" s="2" t="s">
        <v>17</v>
      </c>
      <c r="C186" s="6">
        <v>46084.0</v>
      </c>
      <c r="D186" s="7">
        <v>0.5173611111111112</v>
      </c>
      <c r="E186" s="7">
        <v>0.6041666666666666</v>
      </c>
      <c r="F186" s="2" t="s">
        <v>197</v>
      </c>
      <c r="G186" s="2">
        <v>5.0</v>
      </c>
      <c r="H186" s="8"/>
      <c r="I186" s="8"/>
      <c r="J186" s="8"/>
    </row>
    <row r="187" hidden="1">
      <c r="A187" s="2" t="s">
        <v>29</v>
      </c>
      <c r="B187" s="2" t="s">
        <v>147</v>
      </c>
      <c r="C187" s="6">
        <v>45719.0</v>
      </c>
      <c r="D187" s="7">
        <v>0.6145833333333334</v>
      </c>
      <c r="E187" s="7">
        <v>0.75</v>
      </c>
      <c r="F187" s="2" t="s">
        <v>31</v>
      </c>
      <c r="G187" s="2">
        <v>12.0</v>
      </c>
      <c r="H187" s="8"/>
      <c r="I187" s="8"/>
      <c r="J187" s="8"/>
    </row>
    <row r="188" hidden="1">
      <c r="A188" s="2" t="s">
        <v>150</v>
      </c>
      <c r="B188" s="2" t="s">
        <v>34</v>
      </c>
      <c r="C188" s="6">
        <v>46084.0</v>
      </c>
      <c r="D188" s="7">
        <v>0.6826388888888889</v>
      </c>
      <c r="E188" s="7">
        <v>0.875</v>
      </c>
      <c r="F188" s="2" t="s">
        <v>146</v>
      </c>
      <c r="G188" s="2">
        <v>6.0</v>
      </c>
      <c r="H188" s="2">
        <v>6.0</v>
      </c>
      <c r="I188" s="8"/>
      <c r="J188" s="8"/>
    </row>
    <row r="189" hidden="1">
      <c r="A189" s="2" t="s">
        <v>41</v>
      </c>
      <c r="B189" s="2" t="s">
        <v>42</v>
      </c>
      <c r="C189" s="6">
        <v>46084.0</v>
      </c>
      <c r="D189" s="7">
        <v>0.5208333333333334</v>
      </c>
      <c r="E189" s="7">
        <v>0.6875</v>
      </c>
      <c r="F189" s="2" t="s">
        <v>146</v>
      </c>
      <c r="G189" s="2">
        <v>10.0</v>
      </c>
      <c r="H189" s="8"/>
      <c r="I189" s="8"/>
      <c r="J189" s="8"/>
    </row>
    <row r="190" hidden="1">
      <c r="A190" s="2" t="s">
        <v>62</v>
      </c>
      <c r="B190" s="2" t="s">
        <v>37</v>
      </c>
      <c r="C190" s="6">
        <v>46086.0</v>
      </c>
      <c r="D190" s="7">
        <v>0.625</v>
      </c>
      <c r="E190" s="7">
        <v>0.9027777777777778</v>
      </c>
      <c r="F190" s="2" t="s">
        <v>146</v>
      </c>
      <c r="G190" s="2">
        <v>12.0</v>
      </c>
      <c r="H190" s="8"/>
      <c r="I190" s="8"/>
      <c r="J190" s="8"/>
    </row>
    <row r="191" hidden="1">
      <c r="A191" s="2" t="s">
        <v>64</v>
      </c>
      <c r="B191" s="2" t="s">
        <v>147</v>
      </c>
      <c r="C191" s="6">
        <v>46086.0</v>
      </c>
      <c r="D191" s="7">
        <v>0.7708333333333334</v>
      </c>
      <c r="E191" s="7">
        <v>0.9027777777777778</v>
      </c>
      <c r="F191" s="2" t="s">
        <v>146</v>
      </c>
      <c r="G191" s="2">
        <v>12.0</v>
      </c>
      <c r="H191" s="8"/>
      <c r="I191" s="8"/>
      <c r="J191" s="8"/>
    </row>
    <row r="192" hidden="1">
      <c r="A192" s="2" t="s">
        <v>41</v>
      </c>
      <c r="B192" s="2" t="s">
        <v>42</v>
      </c>
      <c r="C192" s="6">
        <v>46087.0</v>
      </c>
      <c r="D192" s="7">
        <v>0.3125</v>
      </c>
      <c r="E192" s="7">
        <v>0.6875</v>
      </c>
      <c r="F192" s="2" t="s">
        <v>146</v>
      </c>
      <c r="G192" s="2">
        <v>10.0</v>
      </c>
      <c r="H192" s="8"/>
      <c r="I192" s="8"/>
      <c r="J192" s="8"/>
    </row>
    <row r="193" hidden="1">
      <c r="A193" s="2" t="s">
        <v>198</v>
      </c>
      <c r="B193" s="2" t="s">
        <v>199</v>
      </c>
      <c r="C193" s="6">
        <v>46087.0</v>
      </c>
      <c r="D193" s="7">
        <v>0.3541666666666667</v>
      </c>
      <c r="E193" s="7">
        <v>0.4652777777777778</v>
      </c>
      <c r="F193" s="2" t="s">
        <v>146</v>
      </c>
      <c r="G193" s="2">
        <v>1.0</v>
      </c>
      <c r="H193" s="2">
        <v>1.0</v>
      </c>
      <c r="I193" s="8"/>
      <c r="J193" s="8"/>
    </row>
    <row r="194" hidden="1">
      <c r="A194" s="2" t="s">
        <v>13</v>
      </c>
      <c r="B194" s="2" t="s">
        <v>14</v>
      </c>
      <c r="C194" s="6">
        <v>46087.0</v>
      </c>
      <c r="D194" s="7">
        <v>0.5208333333333334</v>
      </c>
      <c r="E194" s="7">
        <v>0.5833333333333334</v>
      </c>
      <c r="F194" s="2" t="s">
        <v>146</v>
      </c>
      <c r="G194" s="2">
        <v>4.0</v>
      </c>
      <c r="H194" s="2">
        <v>4.0</v>
      </c>
      <c r="I194" s="8"/>
      <c r="J194" s="8"/>
    </row>
    <row r="195" hidden="1">
      <c r="A195" s="2" t="s">
        <v>59</v>
      </c>
      <c r="B195" s="2" t="s">
        <v>134</v>
      </c>
      <c r="C195" s="6">
        <v>46087.0</v>
      </c>
      <c r="D195" s="7">
        <v>0.6145833333333334</v>
      </c>
      <c r="E195" s="7">
        <v>0.7291666666666666</v>
      </c>
      <c r="F195" s="2" t="s">
        <v>31</v>
      </c>
      <c r="G195" s="2">
        <v>21.0</v>
      </c>
      <c r="H195" s="8"/>
      <c r="I195" s="8"/>
      <c r="J195" s="8"/>
    </row>
    <row r="196" hidden="1">
      <c r="A196" s="2" t="s">
        <v>150</v>
      </c>
      <c r="B196" s="2" t="s">
        <v>37</v>
      </c>
      <c r="C196" s="6">
        <v>46087.0</v>
      </c>
      <c r="D196" s="7">
        <v>0.6145833333333334</v>
      </c>
      <c r="E196" s="7">
        <v>0.875</v>
      </c>
      <c r="F196" s="2" t="s">
        <v>146</v>
      </c>
      <c r="G196" s="2">
        <v>8.0</v>
      </c>
      <c r="H196" s="2">
        <v>8.0</v>
      </c>
      <c r="I196" s="8"/>
      <c r="J196" s="8"/>
    </row>
    <row r="197" hidden="1">
      <c r="A197" s="2" t="s">
        <v>74</v>
      </c>
      <c r="B197" s="2" t="s">
        <v>37</v>
      </c>
      <c r="C197" s="6">
        <v>46090.0</v>
      </c>
      <c r="D197" s="7">
        <v>0.6145833333333334</v>
      </c>
      <c r="E197" s="7">
        <v>0.90625</v>
      </c>
      <c r="F197" s="2" t="s">
        <v>146</v>
      </c>
      <c r="G197" s="2">
        <v>12.0</v>
      </c>
      <c r="H197" s="8"/>
      <c r="I197" s="8"/>
      <c r="J197" s="8"/>
    </row>
    <row r="198" hidden="1">
      <c r="A198" s="2" t="s">
        <v>29</v>
      </c>
      <c r="B198" s="2" t="s">
        <v>147</v>
      </c>
      <c r="C198" s="6">
        <v>46091.0</v>
      </c>
      <c r="D198" s="7">
        <v>0.6145833333333334</v>
      </c>
      <c r="E198" s="7">
        <v>0.75</v>
      </c>
      <c r="F198" s="2" t="s">
        <v>200</v>
      </c>
      <c r="G198" s="2">
        <v>12.0</v>
      </c>
      <c r="H198" s="2">
        <v>12.0</v>
      </c>
      <c r="I198" s="8"/>
      <c r="J198" s="8"/>
    </row>
    <row r="199" hidden="1">
      <c r="A199" s="2" t="s">
        <v>16</v>
      </c>
      <c r="B199" s="2" t="s">
        <v>17</v>
      </c>
      <c r="C199" s="6">
        <v>45726.0</v>
      </c>
      <c r="D199" s="7">
        <v>0.3125</v>
      </c>
      <c r="E199" s="7">
        <v>0.5</v>
      </c>
      <c r="F199" s="2" t="s">
        <v>201</v>
      </c>
      <c r="G199" s="2">
        <v>12.0</v>
      </c>
      <c r="H199" s="8"/>
      <c r="I199" s="8"/>
      <c r="J199" s="8"/>
    </row>
    <row r="200" hidden="1">
      <c r="A200" s="2" t="s">
        <v>29</v>
      </c>
      <c r="B200" s="2" t="s">
        <v>147</v>
      </c>
      <c r="C200" s="9">
        <v>46090.0</v>
      </c>
      <c r="D200" s="7">
        <v>0.7708333333333334</v>
      </c>
      <c r="E200" s="7">
        <v>0.8958333333333334</v>
      </c>
      <c r="F200" s="2" t="s">
        <v>202</v>
      </c>
      <c r="G200" s="2">
        <v>1.0</v>
      </c>
      <c r="H200" s="2">
        <v>1.0</v>
      </c>
      <c r="I200" s="8"/>
      <c r="J200" s="8"/>
    </row>
    <row r="201" hidden="1">
      <c r="A201" s="2" t="s">
        <v>13</v>
      </c>
      <c r="B201" s="2" t="s">
        <v>14</v>
      </c>
      <c r="C201" s="6">
        <v>46091.0</v>
      </c>
      <c r="D201" s="7">
        <v>0.3229166666666667</v>
      </c>
      <c r="E201" s="7">
        <v>0.5833333333333334</v>
      </c>
      <c r="F201" s="2" t="s">
        <v>113</v>
      </c>
      <c r="G201" s="2">
        <v>12.0</v>
      </c>
      <c r="H201" s="8"/>
      <c r="I201" s="8"/>
      <c r="J201" s="8"/>
    </row>
    <row r="202" hidden="1">
      <c r="A202" s="2" t="s">
        <v>126</v>
      </c>
      <c r="B202" s="2" t="s">
        <v>172</v>
      </c>
      <c r="C202" s="6">
        <v>46091.0</v>
      </c>
      <c r="D202" s="7">
        <v>0.5208333333333334</v>
      </c>
      <c r="E202" s="8"/>
      <c r="F202" s="2" t="s">
        <v>200</v>
      </c>
      <c r="G202" s="2">
        <v>15.0</v>
      </c>
      <c r="H202" s="2">
        <v>15.0</v>
      </c>
      <c r="I202" s="8"/>
      <c r="J202" s="8"/>
    </row>
    <row r="203" hidden="1">
      <c r="A203" s="2" t="s">
        <v>133</v>
      </c>
      <c r="B203" s="2" t="s">
        <v>117</v>
      </c>
      <c r="C203" s="6">
        <v>46092.0</v>
      </c>
      <c r="D203" s="7">
        <v>0.3333333333333333</v>
      </c>
      <c r="E203" s="7">
        <v>0.6666666666666666</v>
      </c>
      <c r="F203" s="2" t="s">
        <v>200</v>
      </c>
      <c r="G203" s="2">
        <v>12.0</v>
      </c>
      <c r="H203" s="8"/>
      <c r="I203" s="8"/>
      <c r="J203" s="8"/>
    </row>
    <row r="204" hidden="1">
      <c r="A204" s="2" t="s">
        <v>41</v>
      </c>
      <c r="B204" s="2" t="s">
        <v>42</v>
      </c>
      <c r="C204" s="6">
        <v>46091.0</v>
      </c>
      <c r="D204" s="7">
        <v>0.5208333333333334</v>
      </c>
      <c r="E204" s="7">
        <v>0.6875</v>
      </c>
      <c r="F204" s="2" t="s">
        <v>146</v>
      </c>
      <c r="G204" s="2">
        <v>12.0</v>
      </c>
      <c r="H204" s="8"/>
      <c r="I204" s="8"/>
      <c r="J204" s="8"/>
    </row>
    <row r="205" hidden="1">
      <c r="A205" s="2" t="s">
        <v>160</v>
      </c>
      <c r="B205" s="2" t="s">
        <v>115</v>
      </c>
      <c r="C205" s="6">
        <v>46091.0</v>
      </c>
      <c r="D205" s="7">
        <v>0.625</v>
      </c>
      <c r="E205" s="8"/>
      <c r="F205" s="2" t="s">
        <v>200</v>
      </c>
      <c r="G205" s="2">
        <v>11.0</v>
      </c>
      <c r="H205" s="8"/>
      <c r="I205" s="8"/>
      <c r="J205" s="8"/>
    </row>
    <row r="206" hidden="1">
      <c r="A206" s="2" t="s">
        <v>29</v>
      </c>
      <c r="B206" s="2" t="s">
        <v>147</v>
      </c>
      <c r="C206" s="6">
        <v>46091.0</v>
      </c>
      <c r="D206" s="7">
        <v>0.8055555555555556</v>
      </c>
      <c r="E206" s="7">
        <v>0.8958333333333334</v>
      </c>
      <c r="F206" s="2" t="s">
        <v>203</v>
      </c>
      <c r="G206" s="2">
        <v>1.0</v>
      </c>
      <c r="H206" s="2">
        <v>1.0</v>
      </c>
      <c r="I206" s="8"/>
      <c r="J206" s="8"/>
    </row>
    <row r="207" hidden="1">
      <c r="A207" s="2" t="s">
        <v>41</v>
      </c>
      <c r="B207" s="2" t="s">
        <v>42</v>
      </c>
      <c r="C207" s="6">
        <v>46092.0</v>
      </c>
      <c r="D207" s="7">
        <v>0.5208333333333334</v>
      </c>
      <c r="E207" s="7">
        <v>0.6875</v>
      </c>
      <c r="F207" s="2" t="s">
        <v>146</v>
      </c>
      <c r="G207" s="2">
        <v>12.0</v>
      </c>
      <c r="H207" s="8"/>
      <c r="I207" s="8"/>
      <c r="J207" s="8"/>
    </row>
    <row r="208" hidden="1">
      <c r="A208" s="2" t="s">
        <v>62</v>
      </c>
      <c r="B208" s="2" t="s">
        <v>99</v>
      </c>
      <c r="C208" s="6">
        <v>46092.0</v>
      </c>
      <c r="D208" s="7">
        <v>0.6145833333333334</v>
      </c>
      <c r="E208" s="7">
        <v>0.875</v>
      </c>
      <c r="F208" s="2" t="s">
        <v>203</v>
      </c>
      <c r="G208" s="2">
        <v>12.0</v>
      </c>
      <c r="H208" s="8"/>
      <c r="I208" s="8"/>
      <c r="J208" s="8"/>
    </row>
    <row r="209" hidden="1">
      <c r="A209" s="2" t="s">
        <v>52</v>
      </c>
      <c r="B209" s="2" t="s">
        <v>81</v>
      </c>
      <c r="C209" s="6">
        <v>46093.0</v>
      </c>
      <c r="D209" s="7">
        <v>0.5694444444444444</v>
      </c>
      <c r="E209" s="7">
        <v>0.7083333333333334</v>
      </c>
      <c r="F209" s="2" t="s">
        <v>204</v>
      </c>
      <c r="G209" s="2">
        <v>1.0</v>
      </c>
      <c r="H209" s="2">
        <v>1.0</v>
      </c>
      <c r="I209" s="8"/>
      <c r="J209" s="8"/>
    </row>
    <row r="210" hidden="1">
      <c r="A210" s="2" t="s">
        <v>13</v>
      </c>
      <c r="B210" s="2" t="s">
        <v>205</v>
      </c>
      <c r="C210" s="6">
        <v>46093.0</v>
      </c>
      <c r="D210" s="7">
        <v>0.6354166666666666</v>
      </c>
      <c r="E210" s="7">
        <v>0.6979166666666666</v>
      </c>
      <c r="F210" s="2" t="s">
        <v>206</v>
      </c>
      <c r="G210" s="2">
        <v>12.0</v>
      </c>
      <c r="H210" s="2">
        <v>12.0</v>
      </c>
      <c r="I210" s="8"/>
      <c r="J210" s="8"/>
    </row>
    <row r="211" hidden="1">
      <c r="A211" s="2" t="s">
        <v>207</v>
      </c>
      <c r="B211" s="2" t="s">
        <v>134</v>
      </c>
      <c r="C211" s="6">
        <v>46094.0</v>
      </c>
      <c r="D211" s="7">
        <v>0.6145833333333334</v>
      </c>
      <c r="E211" s="7">
        <v>0.7152777777777778</v>
      </c>
      <c r="F211" s="2" t="s">
        <v>203</v>
      </c>
      <c r="G211" s="2">
        <v>16.0</v>
      </c>
      <c r="H211" s="8"/>
      <c r="I211" s="8"/>
      <c r="J211" s="8"/>
    </row>
    <row r="212" hidden="1">
      <c r="A212" s="2" t="s">
        <v>41</v>
      </c>
      <c r="B212" s="2" t="s">
        <v>42</v>
      </c>
      <c r="C212" s="6">
        <v>46094.0</v>
      </c>
      <c r="D212" s="7">
        <v>0.3125</v>
      </c>
      <c r="E212" s="7">
        <v>0.6875</v>
      </c>
      <c r="F212" s="2" t="s">
        <v>204</v>
      </c>
      <c r="G212" s="2">
        <v>12.0</v>
      </c>
      <c r="H212" s="8"/>
      <c r="I212" s="8"/>
      <c r="J212" s="8"/>
    </row>
    <row r="213" hidden="1">
      <c r="A213" s="2" t="s">
        <v>198</v>
      </c>
      <c r="B213" s="2" t="s">
        <v>208</v>
      </c>
      <c r="C213" s="9">
        <v>46094.0</v>
      </c>
      <c r="D213" s="7">
        <v>0.3125</v>
      </c>
      <c r="E213" s="7">
        <v>0.4791666666666667</v>
      </c>
      <c r="F213" s="2" t="s">
        <v>204</v>
      </c>
      <c r="G213" s="2">
        <v>11.0</v>
      </c>
      <c r="H213" s="8"/>
      <c r="I213" s="8"/>
      <c r="J213" s="8"/>
    </row>
    <row r="214" hidden="1">
      <c r="A214" s="2" t="s">
        <v>64</v>
      </c>
      <c r="B214" s="2" t="s">
        <v>147</v>
      </c>
      <c r="C214" s="6">
        <v>46094.0</v>
      </c>
      <c r="D214" s="7">
        <v>0.7708333333333334</v>
      </c>
      <c r="E214" s="7">
        <v>0.8888888888888888</v>
      </c>
      <c r="F214" s="2" t="s">
        <v>192</v>
      </c>
      <c r="G214" s="2"/>
      <c r="H214" s="8"/>
      <c r="I214" s="8"/>
      <c r="J214" s="8"/>
    </row>
    <row r="215" hidden="1">
      <c r="A215" s="2" t="s">
        <v>41</v>
      </c>
      <c r="B215" s="2" t="s">
        <v>42</v>
      </c>
      <c r="C215" s="6">
        <v>46097.0</v>
      </c>
      <c r="D215" s="7">
        <v>0.3125</v>
      </c>
      <c r="E215" s="7">
        <v>0.6875</v>
      </c>
      <c r="F215" s="2" t="s">
        <v>204</v>
      </c>
      <c r="G215" s="2">
        <v>12.0</v>
      </c>
      <c r="H215" s="8"/>
      <c r="I215" s="8"/>
      <c r="J215" s="8"/>
    </row>
    <row r="216" hidden="1">
      <c r="A216" s="2" t="s">
        <v>16</v>
      </c>
      <c r="B216" s="2" t="s">
        <v>17</v>
      </c>
      <c r="C216" s="6">
        <v>45732.0</v>
      </c>
      <c r="D216" s="7">
        <v>0.5069444444444444</v>
      </c>
      <c r="E216" s="7">
        <v>0.6041666666666666</v>
      </c>
      <c r="F216" s="2" t="s">
        <v>209</v>
      </c>
      <c r="G216" s="2">
        <v>5.0</v>
      </c>
      <c r="H216" s="8"/>
      <c r="I216" s="8"/>
      <c r="J216" s="8"/>
    </row>
    <row r="217" hidden="1">
      <c r="A217" s="2" t="s">
        <v>59</v>
      </c>
      <c r="B217" s="2" t="s">
        <v>155</v>
      </c>
      <c r="C217" s="6">
        <v>46097.0</v>
      </c>
      <c r="D217" s="7">
        <v>0.6145833333333334</v>
      </c>
      <c r="E217" s="7">
        <v>0.7083333333333334</v>
      </c>
      <c r="F217" s="2" t="s">
        <v>47</v>
      </c>
      <c r="G217" s="2">
        <v>16.0</v>
      </c>
      <c r="H217" s="8"/>
      <c r="I217" s="8"/>
      <c r="J217" s="8"/>
    </row>
    <row r="218" hidden="1">
      <c r="A218" s="2" t="s">
        <v>130</v>
      </c>
      <c r="B218" s="2" t="s">
        <v>40</v>
      </c>
      <c r="C218" s="6">
        <v>46097.0</v>
      </c>
      <c r="D218" s="7">
        <v>0.625</v>
      </c>
      <c r="E218" s="7">
        <v>0.7083333333333334</v>
      </c>
      <c r="F218" s="2" t="s">
        <v>140</v>
      </c>
      <c r="G218" s="2">
        <v>15.0</v>
      </c>
      <c r="H218" s="8"/>
      <c r="I218" s="8"/>
      <c r="J218" s="8"/>
    </row>
    <row r="219" hidden="1">
      <c r="A219" s="2" t="s">
        <v>210</v>
      </c>
      <c r="B219" s="2" t="s">
        <v>152</v>
      </c>
      <c r="C219" s="6">
        <v>46097.0</v>
      </c>
      <c r="D219" s="7">
        <v>0.7708333333333334</v>
      </c>
      <c r="E219" s="7">
        <v>0.875</v>
      </c>
      <c r="F219" s="2" t="s">
        <v>140</v>
      </c>
      <c r="G219" s="2">
        <v>1.0</v>
      </c>
      <c r="H219" s="2">
        <v>1.0</v>
      </c>
      <c r="I219" s="8"/>
      <c r="J219" s="8"/>
    </row>
    <row r="220" hidden="1">
      <c r="A220" s="2" t="s">
        <v>133</v>
      </c>
      <c r="B220" s="2" t="s">
        <v>117</v>
      </c>
      <c r="C220" s="6">
        <v>46098.0</v>
      </c>
      <c r="D220" s="7">
        <v>0.3333333333333333</v>
      </c>
      <c r="E220" s="7">
        <v>0.6666666666666666</v>
      </c>
      <c r="F220" s="2" t="s">
        <v>196</v>
      </c>
      <c r="G220" s="2">
        <v>15.0</v>
      </c>
      <c r="H220" s="8"/>
      <c r="I220" s="8"/>
      <c r="J220" s="8"/>
    </row>
    <row r="221" hidden="1">
      <c r="A221" s="2" t="s">
        <v>21</v>
      </c>
      <c r="B221" s="2" t="s">
        <v>211</v>
      </c>
      <c r="C221" s="6">
        <v>46098.0</v>
      </c>
      <c r="D221" s="7">
        <v>0.3333333333333333</v>
      </c>
      <c r="E221" s="7">
        <v>0.4166666666666667</v>
      </c>
      <c r="F221" s="2" t="s">
        <v>212</v>
      </c>
      <c r="G221" s="2">
        <v>10.0</v>
      </c>
      <c r="H221" s="8"/>
      <c r="I221" s="8"/>
      <c r="J221" s="8"/>
    </row>
    <row r="222" hidden="1">
      <c r="A222" s="2" t="s">
        <v>126</v>
      </c>
      <c r="B222" s="2" t="s">
        <v>69</v>
      </c>
      <c r="C222" s="6">
        <v>46098.0</v>
      </c>
      <c r="D222" s="7">
        <v>0.3541666666666667</v>
      </c>
      <c r="E222" s="7">
        <v>0.4583333333333333</v>
      </c>
      <c r="F222" s="2" t="s">
        <v>184</v>
      </c>
      <c r="G222" s="2">
        <v>5.0</v>
      </c>
      <c r="H222" s="2">
        <v>5.0</v>
      </c>
      <c r="I222" s="8"/>
      <c r="J222" s="8"/>
    </row>
    <row r="223" hidden="1">
      <c r="A223" s="2" t="s">
        <v>16</v>
      </c>
      <c r="B223" s="2" t="s">
        <v>17</v>
      </c>
      <c r="C223" s="6">
        <v>46098.0</v>
      </c>
      <c r="D223" s="7">
        <v>0.5069444444444444</v>
      </c>
      <c r="E223" s="7">
        <v>0.6041666666666666</v>
      </c>
      <c r="F223" s="2" t="s">
        <v>209</v>
      </c>
      <c r="G223" s="2">
        <v>5.0</v>
      </c>
      <c r="H223" s="8"/>
      <c r="I223" s="8"/>
      <c r="J223" s="8"/>
    </row>
    <row r="224" hidden="1">
      <c r="A224" s="2" t="s">
        <v>198</v>
      </c>
      <c r="B224" s="2" t="s">
        <v>42</v>
      </c>
      <c r="C224" s="6">
        <v>46098.0</v>
      </c>
      <c r="D224" s="7">
        <v>0.5208333333333334</v>
      </c>
      <c r="E224" s="7">
        <v>0.6875</v>
      </c>
      <c r="F224" s="2" t="s">
        <v>204</v>
      </c>
      <c r="G224" s="2">
        <v>11.0</v>
      </c>
      <c r="H224" s="8"/>
      <c r="I224" s="8"/>
      <c r="J224" s="8"/>
    </row>
    <row r="225" hidden="1">
      <c r="A225" s="2" t="s">
        <v>29</v>
      </c>
      <c r="B225" s="2" t="s">
        <v>147</v>
      </c>
      <c r="C225" s="6">
        <v>46098.0</v>
      </c>
      <c r="D225" s="7">
        <v>0.7708333333333334</v>
      </c>
      <c r="E225" s="7">
        <v>0.8888888888888888</v>
      </c>
      <c r="F225" s="2" t="s">
        <v>213</v>
      </c>
      <c r="G225" s="2">
        <v>3.0</v>
      </c>
      <c r="H225" s="8"/>
      <c r="I225" s="8"/>
      <c r="J225" s="8"/>
    </row>
    <row r="226" hidden="1">
      <c r="A226" s="2" t="s">
        <v>41</v>
      </c>
      <c r="B226" s="2" t="s">
        <v>42</v>
      </c>
      <c r="C226" s="6">
        <v>46099.0</v>
      </c>
      <c r="D226" s="7">
        <v>0.3194444444444444</v>
      </c>
      <c r="E226" s="7">
        <v>0.5208333333333334</v>
      </c>
      <c r="F226" s="2" t="s">
        <v>213</v>
      </c>
      <c r="G226" s="2">
        <v>5.0</v>
      </c>
      <c r="H226" s="8"/>
      <c r="I226" s="8"/>
      <c r="J226" s="8"/>
    </row>
    <row r="227" hidden="1">
      <c r="A227" s="2" t="s">
        <v>41</v>
      </c>
      <c r="B227" s="2" t="s">
        <v>42</v>
      </c>
      <c r="C227" s="6">
        <v>46099.0</v>
      </c>
      <c r="D227" s="7">
        <v>0.5208333333333334</v>
      </c>
      <c r="E227" s="7">
        <v>0.6875</v>
      </c>
      <c r="F227" s="2" t="s">
        <v>213</v>
      </c>
      <c r="G227" s="2">
        <v>12.0</v>
      </c>
      <c r="H227" s="8"/>
      <c r="I227" s="8"/>
      <c r="J227" s="8"/>
    </row>
    <row r="228" hidden="1">
      <c r="A228" s="2" t="s">
        <v>62</v>
      </c>
      <c r="B228" s="2" t="s">
        <v>99</v>
      </c>
      <c r="C228" s="6">
        <v>46099.0</v>
      </c>
      <c r="D228" s="7">
        <v>0.625</v>
      </c>
      <c r="E228" s="7">
        <v>0.8888888888888888</v>
      </c>
      <c r="F228" s="2" t="s">
        <v>203</v>
      </c>
      <c r="G228" s="2">
        <v>12.0</v>
      </c>
      <c r="H228" s="8"/>
      <c r="I228" s="8"/>
      <c r="J228" s="8"/>
    </row>
    <row r="229" hidden="1">
      <c r="A229" s="2" t="s">
        <v>122</v>
      </c>
      <c r="B229" s="2" t="s">
        <v>92</v>
      </c>
      <c r="C229" s="6">
        <v>46100.0</v>
      </c>
      <c r="D229" s="7">
        <v>0.3125</v>
      </c>
      <c r="E229" s="7">
        <v>0.6041666666666666</v>
      </c>
      <c r="F229" s="2" t="s">
        <v>203</v>
      </c>
      <c r="G229" s="2">
        <v>5.0</v>
      </c>
      <c r="H229" s="8"/>
      <c r="I229" s="8"/>
      <c r="J229" s="8"/>
    </row>
    <row r="230" hidden="1">
      <c r="A230" s="2" t="s">
        <v>62</v>
      </c>
      <c r="B230" s="2" t="s">
        <v>37</v>
      </c>
      <c r="C230" s="6">
        <v>46100.0</v>
      </c>
      <c r="D230" s="7">
        <v>0.7916666666666666</v>
      </c>
      <c r="E230" s="7">
        <v>0.8888888888888888</v>
      </c>
      <c r="F230" s="2" t="s">
        <v>213</v>
      </c>
      <c r="G230" s="2">
        <v>5.0</v>
      </c>
      <c r="H230" s="2"/>
      <c r="I230" s="8"/>
      <c r="J230" s="8"/>
    </row>
    <row r="231" hidden="1">
      <c r="A231" s="2" t="s">
        <v>41</v>
      </c>
      <c r="B231" s="2" t="s">
        <v>42</v>
      </c>
      <c r="C231" s="6">
        <v>46101.0</v>
      </c>
      <c r="D231" s="7">
        <v>0.3125</v>
      </c>
      <c r="E231" s="7">
        <v>0.4791666666666667</v>
      </c>
      <c r="F231" s="2" t="s">
        <v>213</v>
      </c>
      <c r="G231" s="2">
        <v>10.0</v>
      </c>
      <c r="H231" s="8"/>
      <c r="I231" s="8"/>
      <c r="J231" s="8"/>
    </row>
    <row r="232" hidden="1">
      <c r="A232" s="2" t="s">
        <v>122</v>
      </c>
      <c r="B232" s="2" t="s">
        <v>92</v>
      </c>
      <c r="C232" s="6">
        <v>46101.0</v>
      </c>
      <c r="D232" s="7">
        <v>0.3402777777777778</v>
      </c>
      <c r="E232" s="7">
        <v>0.6041666666666666</v>
      </c>
      <c r="F232" s="2" t="s">
        <v>213</v>
      </c>
      <c r="G232" s="2">
        <v>3.0</v>
      </c>
      <c r="H232" s="8"/>
      <c r="I232" s="8"/>
      <c r="J232" s="8"/>
    </row>
    <row r="233" hidden="1">
      <c r="A233" s="2" t="s">
        <v>150</v>
      </c>
      <c r="B233" s="2" t="s">
        <v>37</v>
      </c>
      <c r="C233" s="6">
        <v>46101.0</v>
      </c>
      <c r="D233" s="7">
        <v>0.6145833333333334</v>
      </c>
      <c r="E233" s="7">
        <v>0.90625</v>
      </c>
      <c r="F233" s="2" t="s">
        <v>213</v>
      </c>
      <c r="G233" s="2">
        <v>6.0</v>
      </c>
      <c r="H233" s="8"/>
      <c r="I233" s="8"/>
      <c r="J233" s="8"/>
    </row>
    <row r="234" hidden="1">
      <c r="A234" s="2" t="s">
        <v>214</v>
      </c>
      <c r="B234" s="2" t="s">
        <v>134</v>
      </c>
      <c r="C234" s="6">
        <v>46101.0</v>
      </c>
      <c r="D234" s="7">
        <v>0.6145833333333334</v>
      </c>
      <c r="E234" s="7">
        <v>0.7152777777777778</v>
      </c>
      <c r="F234" s="2" t="s">
        <v>203</v>
      </c>
      <c r="G234" s="2">
        <v>6.0</v>
      </c>
      <c r="H234" s="8"/>
      <c r="I234" s="8"/>
      <c r="J234" s="8"/>
    </row>
    <row r="235" hidden="1">
      <c r="A235" s="2" t="s">
        <v>74</v>
      </c>
      <c r="B235" s="2" t="s">
        <v>37</v>
      </c>
      <c r="C235" s="6">
        <v>46104.0</v>
      </c>
      <c r="D235" s="7">
        <v>0.6145833333333334</v>
      </c>
      <c r="E235" s="7">
        <v>0.90625</v>
      </c>
      <c r="F235" s="2" t="s">
        <v>215</v>
      </c>
      <c r="G235" s="2">
        <v>22.0</v>
      </c>
      <c r="H235" s="8"/>
      <c r="I235" s="8"/>
      <c r="J235" s="8"/>
    </row>
    <row r="236" hidden="1">
      <c r="A236" s="2" t="s">
        <v>130</v>
      </c>
      <c r="B236" s="2" t="s">
        <v>141</v>
      </c>
      <c r="C236" s="6">
        <v>46104.0</v>
      </c>
      <c r="D236" s="7">
        <v>0.6145833333333334</v>
      </c>
      <c r="E236" s="7">
        <v>0.7083333333333334</v>
      </c>
      <c r="F236" s="2" t="s">
        <v>216</v>
      </c>
      <c r="G236" s="2">
        <v>18.0</v>
      </c>
      <c r="H236" s="8"/>
      <c r="I236" s="8"/>
      <c r="J236" s="8"/>
    </row>
    <row r="237" hidden="1">
      <c r="A237" s="2" t="s">
        <v>150</v>
      </c>
      <c r="B237" s="2" t="s">
        <v>34</v>
      </c>
      <c r="C237" s="6">
        <v>46104.0</v>
      </c>
      <c r="D237" s="7">
        <v>0.6145833333333334</v>
      </c>
      <c r="E237" s="7">
        <v>0.90625</v>
      </c>
      <c r="F237" s="2" t="s">
        <v>213</v>
      </c>
      <c r="G237" s="2">
        <v>10.0</v>
      </c>
      <c r="H237" s="2"/>
      <c r="I237" s="8"/>
      <c r="J237" s="8"/>
    </row>
    <row r="238" hidden="1">
      <c r="A238" s="2" t="s">
        <v>122</v>
      </c>
      <c r="B238" s="2" t="s">
        <v>92</v>
      </c>
      <c r="C238" s="12">
        <v>46105.0</v>
      </c>
      <c r="D238" s="7">
        <v>0.3125</v>
      </c>
      <c r="E238" s="7">
        <v>0.6041666666666666</v>
      </c>
      <c r="F238" s="2" t="s">
        <v>213</v>
      </c>
      <c r="G238" s="2">
        <v>3.0</v>
      </c>
      <c r="H238" s="8"/>
      <c r="I238" s="8"/>
      <c r="J238" s="8"/>
    </row>
    <row r="239" hidden="1">
      <c r="A239" s="2" t="s">
        <v>52</v>
      </c>
      <c r="B239" s="2" t="s">
        <v>86</v>
      </c>
      <c r="C239" s="9">
        <v>46105.0</v>
      </c>
      <c r="D239" s="7">
        <v>0.3125</v>
      </c>
      <c r="E239" s="7">
        <v>0.6041666666666666</v>
      </c>
      <c r="F239" s="2" t="s">
        <v>217</v>
      </c>
      <c r="G239" s="2">
        <v>3.0</v>
      </c>
      <c r="H239" s="8"/>
      <c r="I239" s="8"/>
      <c r="J239" s="8"/>
    </row>
    <row r="240" hidden="1">
      <c r="A240" s="2" t="s">
        <v>133</v>
      </c>
      <c r="B240" s="2" t="s">
        <v>117</v>
      </c>
      <c r="C240" s="6">
        <v>46105.0</v>
      </c>
      <c r="D240" s="7">
        <v>0.4375</v>
      </c>
      <c r="E240" s="7">
        <v>0.6666666666666666</v>
      </c>
      <c r="F240" s="2" t="s">
        <v>213</v>
      </c>
      <c r="G240" s="2">
        <v>9.0</v>
      </c>
      <c r="H240" s="8"/>
      <c r="I240" s="8"/>
      <c r="J240" s="8"/>
    </row>
    <row r="241" hidden="1">
      <c r="A241" s="2" t="s">
        <v>41</v>
      </c>
      <c r="B241" s="2" t="s">
        <v>42</v>
      </c>
      <c r="C241" s="6">
        <v>46105.0</v>
      </c>
      <c r="D241" s="7">
        <v>0.5208333333333334</v>
      </c>
      <c r="E241" s="7">
        <v>0.6875</v>
      </c>
      <c r="F241" s="2" t="s">
        <v>213</v>
      </c>
      <c r="G241" s="2">
        <v>12.0</v>
      </c>
      <c r="H241" s="8"/>
      <c r="I241" s="8"/>
      <c r="J241" s="8"/>
    </row>
    <row r="242" hidden="1">
      <c r="A242" s="2" t="s">
        <v>150</v>
      </c>
      <c r="B242" s="2" t="s">
        <v>34</v>
      </c>
      <c r="C242" s="6">
        <v>46105.0</v>
      </c>
      <c r="D242" s="7">
        <v>0.6145833333333334</v>
      </c>
      <c r="E242" s="7">
        <v>0.90625</v>
      </c>
      <c r="F242" s="2" t="s">
        <v>213</v>
      </c>
      <c r="G242" s="2">
        <v>10.0</v>
      </c>
      <c r="H242" s="8"/>
      <c r="I242" s="8"/>
      <c r="J242" s="8"/>
    </row>
    <row r="243" hidden="1">
      <c r="A243" s="2" t="s">
        <v>130</v>
      </c>
      <c r="B243" s="2" t="s">
        <v>141</v>
      </c>
      <c r="C243" s="6">
        <v>46105.0</v>
      </c>
      <c r="D243" s="7">
        <v>0.6145833333333334</v>
      </c>
      <c r="E243" s="7">
        <v>0.9166666666666666</v>
      </c>
      <c r="F243" s="2" t="s">
        <v>140</v>
      </c>
      <c r="G243" s="2">
        <v>5.0</v>
      </c>
      <c r="H243" s="8"/>
      <c r="I243" s="8"/>
      <c r="J243" s="8"/>
    </row>
    <row r="244" hidden="1">
      <c r="A244" s="2" t="s">
        <v>29</v>
      </c>
      <c r="B244" s="2" t="s">
        <v>147</v>
      </c>
      <c r="C244" s="9">
        <v>46105.0</v>
      </c>
      <c r="D244" s="7">
        <v>0.8125</v>
      </c>
      <c r="E244" s="7">
        <v>0.9027777777777778</v>
      </c>
      <c r="F244" s="2" t="s">
        <v>154</v>
      </c>
      <c r="G244" s="2">
        <v>4.0</v>
      </c>
      <c r="H244" s="2">
        <v>4.0</v>
      </c>
      <c r="I244" s="8"/>
      <c r="J244" s="8"/>
    </row>
    <row r="245" hidden="1">
      <c r="A245" s="2" t="s">
        <v>62</v>
      </c>
      <c r="B245" s="2" t="s">
        <v>99</v>
      </c>
      <c r="C245" s="6">
        <v>46106.0</v>
      </c>
      <c r="D245" s="7">
        <v>0.6145833333333334</v>
      </c>
      <c r="E245" s="7">
        <v>0.8958333333333334</v>
      </c>
      <c r="F245" s="2" t="s">
        <v>203</v>
      </c>
      <c r="G245" s="2">
        <v>12.0</v>
      </c>
      <c r="H245" s="8"/>
      <c r="I245" s="8"/>
      <c r="J245" s="8"/>
    </row>
    <row r="246" hidden="1">
      <c r="A246" s="2" t="s">
        <v>218</v>
      </c>
      <c r="B246" s="2" t="s">
        <v>174</v>
      </c>
      <c r="C246" s="6">
        <v>46106.0</v>
      </c>
      <c r="D246" s="7">
        <v>0.6145833333333334</v>
      </c>
      <c r="E246" s="7">
        <v>0.8958333333333334</v>
      </c>
      <c r="F246" s="2" t="s">
        <v>203</v>
      </c>
      <c r="G246" s="2">
        <v>13.0</v>
      </c>
      <c r="H246" s="8"/>
      <c r="I246" s="8"/>
      <c r="J246" s="8"/>
    </row>
    <row r="247" hidden="1">
      <c r="A247" s="2" t="s">
        <v>219</v>
      </c>
      <c r="B247" s="2" t="s">
        <v>220</v>
      </c>
      <c r="C247" s="6">
        <v>46106.0</v>
      </c>
      <c r="D247" s="7">
        <v>0.7916666666666666</v>
      </c>
      <c r="E247" s="7">
        <v>0.90625</v>
      </c>
      <c r="F247" s="2" t="s">
        <v>140</v>
      </c>
      <c r="G247" s="2">
        <v>5.0</v>
      </c>
      <c r="H247" s="8"/>
      <c r="I247" s="8"/>
      <c r="J247" s="8"/>
    </row>
    <row r="248" hidden="1">
      <c r="A248" s="2" t="s">
        <v>221</v>
      </c>
      <c r="B248" s="2" t="s">
        <v>199</v>
      </c>
      <c r="C248" s="6">
        <v>46107.0</v>
      </c>
      <c r="D248" s="7">
        <v>0.5625</v>
      </c>
      <c r="E248" s="7">
        <v>0.6041666666666666</v>
      </c>
      <c r="F248" s="2" t="s">
        <v>222</v>
      </c>
      <c r="G248" s="2">
        <v>1.0</v>
      </c>
      <c r="H248" s="2">
        <v>1.0</v>
      </c>
      <c r="I248" s="8"/>
      <c r="J248" s="8"/>
    </row>
    <row r="249" hidden="1">
      <c r="A249" s="2" t="s">
        <v>62</v>
      </c>
      <c r="B249" s="2" t="s">
        <v>37</v>
      </c>
      <c r="C249" s="6">
        <v>46107.0</v>
      </c>
      <c r="D249" s="7">
        <v>0.6666666666666666</v>
      </c>
      <c r="E249" s="7">
        <v>0.875</v>
      </c>
      <c r="F249" s="2" t="s">
        <v>203</v>
      </c>
      <c r="G249" s="2">
        <v>12.0</v>
      </c>
      <c r="H249" s="8"/>
      <c r="I249" s="8"/>
      <c r="J249" s="8"/>
    </row>
    <row r="250" hidden="1">
      <c r="A250" s="2" t="s">
        <v>41</v>
      </c>
      <c r="B250" s="2" t="s">
        <v>42</v>
      </c>
      <c r="C250" s="6">
        <v>46108.0</v>
      </c>
      <c r="D250" s="7">
        <v>0.5416666666666666</v>
      </c>
      <c r="E250" s="7">
        <v>0.6875</v>
      </c>
      <c r="F250" s="2" t="s">
        <v>113</v>
      </c>
      <c r="G250" s="2">
        <v>12.0</v>
      </c>
      <c r="H250" s="8"/>
      <c r="I250" s="8"/>
      <c r="J250" s="8"/>
    </row>
    <row r="251" hidden="1">
      <c r="A251" s="2" t="s">
        <v>21</v>
      </c>
      <c r="B251" s="2" t="s">
        <v>147</v>
      </c>
      <c r="C251" s="6">
        <v>46108.0</v>
      </c>
      <c r="D251" s="7">
        <v>0.625</v>
      </c>
      <c r="E251" s="7">
        <v>0.7222222222222222</v>
      </c>
      <c r="F251" s="2" t="s">
        <v>223</v>
      </c>
      <c r="G251" s="2">
        <v>3.0</v>
      </c>
      <c r="H251" s="8"/>
      <c r="I251" s="8"/>
      <c r="J251" s="8"/>
    </row>
    <row r="252" hidden="1">
      <c r="A252" s="2" t="s">
        <v>224</v>
      </c>
      <c r="B252" s="2" t="s">
        <v>199</v>
      </c>
      <c r="C252" s="6">
        <v>46111.0</v>
      </c>
      <c r="D252" s="7">
        <v>0.3541666666666667</v>
      </c>
      <c r="E252" s="7">
        <v>0.6041666666666666</v>
      </c>
      <c r="F252" s="2" t="s">
        <v>225</v>
      </c>
      <c r="G252" s="2">
        <v>1.0</v>
      </c>
      <c r="H252" s="2">
        <v>1.0</v>
      </c>
      <c r="I252" s="8"/>
      <c r="J252" s="8"/>
    </row>
    <row r="253" hidden="1">
      <c r="A253" s="2" t="s">
        <v>130</v>
      </c>
      <c r="B253" s="2" t="s">
        <v>141</v>
      </c>
      <c r="C253" s="6">
        <v>46111.0</v>
      </c>
      <c r="D253" s="7">
        <v>0.6145833333333334</v>
      </c>
      <c r="E253" s="7">
        <v>0.7083333333333334</v>
      </c>
      <c r="F253" s="2" t="s">
        <v>140</v>
      </c>
      <c r="G253" s="2">
        <v>15.0</v>
      </c>
      <c r="H253" s="8"/>
      <c r="I253" s="8"/>
      <c r="J253" s="8"/>
    </row>
    <row r="254" hidden="1">
      <c r="A254" s="2" t="s">
        <v>150</v>
      </c>
      <c r="B254" s="2" t="s">
        <v>34</v>
      </c>
      <c r="C254" s="6">
        <v>46111.0</v>
      </c>
      <c r="D254" s="7">
        <v>0.6145833333333334</v>
      </c>
      <c r="E254" s="7">
        <v>0.90625</v>
      </c>
      <c r="F254" s="2" t="s">
        <v>213</v>
      </c>
      <c r="G254" s="2">
        <v>8.0</v>
      </c>
      <c r="H254" s="8"/>
      <c r="I254" s="8"/>
      <c r="J254" s="8"/>
    </row>
    <row r="255" hidden="1">
      <c r="A255" s="2" t="s">
        <v>226</v>
      </c>
      <c r="B255" s="2" t="s">
        <v>141</v>
      </c>
      <c r="C255" s="6">
        <v>45747.0</v>
      </c>
      <c r="D255" s="7">
        <v>0.6145833333333334</v>
      </c>
      <c r="E255" s="7">
        <v>0.90625</v>
      </c>
      <c r="F255" s="2" t="s">
        <v>140</v>
      </c>
      <c r="G255" s="2">
        <v>24.0</v>
      </c>
      <c r="H255" s="8"/>
      <c r="I255" s="8"/>
      <c r="J255" s="8"/>
    </row>
    <row r="256" hidden="1">
      <c r="A256" s="2" t="s">
        <v>43</v>
      </c>
      <c r="B256" s="2" t="s">
        <v>17</v>
      </c>
      <c r="C256" s="6">
        <v>45749.0</v>
      </c>
      <c r="D256" s="7">
        <v>0.3333333333333333</v>
      </c>
      <c r="E256" s="7">
        <v>0.5833333333333334</v>
      </c>
      <c r="F256" s="2" t="s">
        <v>179</v>
      </c>
      <c r="G256" s="2">
        <v>22.0</v>
      </c>
      <c r="H256" s="8"/>
      <c r="I256" s="8"/>
      <c r="J256" s="8"/>
    </row>
    <row r="257" hidden="1">
      <c r="A257" s="2" t="s">
        <v>16</v>
      </c>
      <c r="B257" s="2" t="s">
        <v>17</v>
      </c>
      <c r="C257" s="6">
        <v>46112.0</v>
      </c>
      <c r="D257" s="7">
        <v>0.5069444444444444</v>
      </c>
      <c r="E257" s="7">
        <v>0.6041666666666666</v>
      </c>
      <c r="F257" s="2" t="s">
        <v>227</v>
      </c>
      <c r="G257" s="2">
        <v>11.0</v>
      </c>
      <c r="H257" s="8"/>
      <c r="I257" s="8"/>
      <c r="J257" s="8"/>
    </row>
    <row r="258" hidden="1">
      <c r="A258" s="2" t="s">
        <v>41</v>
      </c>
      <c r="B258" s="2" t="s">
        <v>42</v>
      </c>
      <c r="C258" s="6">
        <v>46112.0</v>
      </c>
      <c r="D258" s="7">
        <v>0.5208333333333334</v>
      </c>
      <c r="E258" s="7">
        <v>0.6875</v>
      </c>
      <c r="F258" s="2" t="s">
        <v>213</v>
      </c>
      <c r="G258" s="2">
        <v>12.0</v>
      </c>
      <c r="H258" s="8"/>
      <c r="I258" s="8"/>
      <c r="J258" s="8"/>
    </row>
    <row r="259" hidden="1">
      <c r="A259" s="2" t="s">
        <v>130</v>
      </c>
      <c r="B259" s="2" t="s">
        <v>220</v>
      </c>
      <c r="C259" s="6">
        <v>46112.0</v>
      </c>
      <c r="D259" s="7">
        <v>0.6145833333333334</v>
      </c>
      <c r="E259" s="7">
        <v>0.90625</v>
      </c>
      <c r="F259" s="2" t="s">
        <v>140</v>
      </c>
      <c r="G259" s="2">
        <v>5.0</v>
      </c>
      <c r="H259" s="8"/>
      <c r="I259" s="8"/>
      <c r="J259" s="8"/>
    </row>
    <row r="260" hidden="1">
      <c r="A260" s="2" t="s">
        <v>36</v>
      </c>
      <c r="B260" s="2" t="s">
        <v>37</v>
      </c>
      <c r="C260" s="6">
        <v>46114.0</v>
      </c>
      <c r="D260" s="7">
        <v>0.6180555555555556</v>
      </c>
      <c r="E260" s="7">
        <v>0.9027777777777778</v>
      </c>
      <c r="F260" s="2" t="s">
        <v>146</v>
      </c>
      <c r="G260" s="2">
        <v>12.0</v>
      </c>
      <c r="H260" s="8"/>
      <c r="I260" s="8"/>
      <c r="J260" s="8"/>
    </row>
    <row r="261" hidden="1">
      <c r="A261" s="2" t="s">
        <v>228</v>
      </c>
      <c r="B261" s="2" t="s">
        <v>174</v>
      </c>
      <c r="C261" s="6">
        <v>46114.0</v>
      </c>
      <c r="D261" s="7">
        <v>0.6770833333333334</v>
      </c>
      <c r="E261" s="7"/>
      <c r="F261" s="2" t="s">
        <v>229</v>
      </c>
      <c r="G261" s="2"/>
      <c r="H261" s="8"/>
      <c r="I261" s="8"/>
      <c r="J261" s="8"/>
    </row>
    <row r="262" hidden="1">
      <c r="A262" s="2" t="s">
        <v>198</v>
      </c>
      <c r="B262" s="2" t="s">
        <v>42</v>
      </c>
      <c r="C262" s="6">
        <v>46118.0</v>
      </c>
      <c r="D262" s="7">
        <v>0.5208333333333334</v>
      </c>
      <c r="E262" s="7">
        <v>0.6875</v>
      </c>
      <c r="F262" s="2" t="s">
        <v>204</v>
      </c>
      <c r="G262" s="2">
        <v>11.0</v>
      </c>
      <c r="H262" s="8"/>
      <c r="I262" s="8"/>
      <c r="J262" s="8"/>
    </row>
    <row r="263" hidden="1">
      <c r="A263" s="2" t="s">
        <v>130</v>
      </c>
      <c r="B263" s="2" t="s">
        <v>30</v>
      </c>
      <c r="C263" s="6">
        <v>46121.0</v>
      </c>
      <c r="D263" s="7">
        <v>0.625</v>
      </c>
      <c r="E263" s="7">
        <v>0.90625</v>
      </c>
      <c r="F263" s="2" t="s">
        <v>140</v>
      </c>
      <c r="G263" s="2">
        <v>19.0</v>
      </c>
      <c r="H263" s="8"/>
      <c r="I263" s="8"/>
      <c r="J263" s="8"/>
    </row>
    <row r="264" hidden="1">
      <c r="A264" s="2" t="s">
        <v>62</v>
      </c>
      <c r="B264" s="2" t="s">
        <v>37</v>
      </c>
      <c r="C264" s="6">
        <v>46121.0</v>
      </c>
      <c r="D264" s="7">
        <v>0.625</v>
      </c>
      <c r="E264" s="7">
        <v>0.90625</v>
      </c>
      <c r="F264" s="2" t="s">
        <v>204</v>
      </c>
      <c r="G264" s="2">
        <v>12.0</v>
      </c>
      <c r="H264" s="8"/>
      <c r="I264" s="8"/>
      <c r="J264" s="8"/>
    </row>
    <row r="265" hidden="1">
      <c r="A265" s="2" t="s">
        <v>230</v>
      </c>
      <c r="B265" s="2" t="s">
        <v>172</v>
      </c>
      <c r="C265" s="6">
        <v>46122.0</v>
      </c>
      <c r="D265" s="7">
        <v>0.5208333333333334</v>
      </c>
      <c r="E265" s="7">
        <v>0.6041666666666666</v>
      </c>
      <c r="F265" s="2" t="s">
        <v>140</v>
      </c>
      <c r="G265" s="2">
        <v>8.0</v>
      </c>
      <c r="H265" s="2">
        <v>8.0</v>
      </c>
      <c r="I265" s="8"/>
      <c r="J265" s="8"/>
    </row>
    <row r="266" hidden="1">
      <c r="A266" s="2" t="s">
        <v>57</v>
      </c>
      <c r="B266" s="2" t="s">
        <v>231</v>
      </c>
      <c r="C266" s="6">
        <v>46125.0</v>
      </c>
      <c r="D266" s="7">
        <v>0.625</v>
      </c>
      <c r="E266" s="7">
        <v>0.7083333333333334</v>
      </c>
      <c r="F266" s="2" t="s">
        <v>140</v>
      </c>
      <c r="G266" s="2">
        <v>24.0</v>
      </c>
      <c r="H266" s="8"/>
      <c r="I266" s="8"/>
      <c r="J266" s="8"/>
    </row>
    <row r="267" hidden="1">
      <c r="A267" s="2" t="s">
        <v>230</v>
      </c>
      <c r="B267" s="2" t="s">
        <v>172</v>
      </c>
      <c r="C267" s="6">
        <v>46125.0</v>
      </c>
      <c r="D267" s="7">
        <v>0.3125</v>
      </c>
      <c r="E267" s="7">
        <v>0.4166666666666667</v>
      </c>
      <c r="F267" s="2" t="s">
        <v>140</v>
      </c>
      <c r="G267" s="2">
        <v>12.0</v>
      </c>
      <c r="H267" s="8"/>
      <c r="I267" s="8"/>
      <c r="J267" s="8"/>
    </row>
    <row r="268" hidden="1">
      <c r="A268" s="2" t="s">
        <v>150</v>
      </c>
      <c r="B268" s="2" t="s">
        <v>37</v>
      </c>
      <c r="C268" s="6">
        <v>46122.0</v>
      </c>
      <c r="D268" s="7">
        <v>0.6180555555555556</v>
      </c>
      <c r="E268" s="7">
        <v>0.9027777777777778</v>
      </c>
      <c r="F268" s="2" t="s">
        <v>146</v>
      </c>
      <c r="G268" s="2">
        <v>8.0</v>
      </c>
      <c r="H268" s="2">
        <v>8.0</v>
      </c>
      <c r="I268" s="8"/>
      <c r="J268" s="8"/>
    </row>
    <row r="269" hidden="1">
      <c r="A269" s="2" t="s">
        <v>39</v>
      </c>
      <c r="B269" s="2" t="s">
        <v>28</v>
      </c>
      <c r="C269" s="6">
        <v>46122.0</v>
      </c>
      <c r="D269" s="7">
        <v>0.6180555555555556</v>
      </c>
      <c r="E269" s="7">
        <v>0.75</v>
      </c>
      <c r="F269" s="2" t="s">
        <v>232</v>
      </c>
      <c r="G269" s="2">
        <v>12.0</v>
      </c>
      <c r="H269" s="2">
        <v>12.0</v>
      </c>
      <c r="I269" s="8"/>
      <c r="J269" s="8"/>
    </row>
    <row r="270" hidden="1">
      <c r="A270" s="2" t="s">
        <v>230</v>
      </c>
      <c r="B270" s="2" t="s">
        <v>231</v>
      </c>
      <c r="C270" s="6">
        <v>46122.0</v>
      </c>
      <c r="D270" s="7">
        <v>0.6041666666666666</v>
      </c>
      <c r="E270" s="7">
        <v>0.7291666666666666</v>
      </c>
      <c r="F270" s="2" t="s">
        <v>233</v>
      </c>
      <c r="G270" s="2">
        <v>20.0</v>
      </c>
      <c r="H270" s="2">
        <v>20.0</v>
      </c>
      <c r="I270" s="8"/>
      <c r="J270" s="8"/>
    </row>
    <row r="271" hidden="1">
      <c r="A271" s="2" t="s">
        <v>41</v>
      </c>
      <c r="B271" s="2" t="s">
        <v>42</v>
      </c>
      <c r="C271" s="6">
        <v>46125.0</v>
      </c>
      <c r="D271" s="7">
        <v>0.3125</v>
      </c>
      <c r="E271" s="7">
        <v>0.46875</v>
      </c>
      <c r="F271" s="2" t="s">
        <v>146</v>
      </c>
      <c r="G271" s="2">
        <v>12.0</v>
      </c>
      <c r="H271" s="8"/>
      <c r="I271" s="8"/>
      <c r="J271" s="8"/>
    </row>
    <row r="272" hidden="1">
      <c r="A272" s="2" t="s">
        <v>234</v>
      </c>
      <c r="B272" s="2" t="s">
        <v>235</v>
      </c>
      <c r="C272" s="6">
        <v>46125.0</v>
      </c>
      <c r="D272" s="7">
        <v>0.375</v>
      </c>
      <c r="E272" s="7">
        <v>0.6041666666666666</v>
      </c>
      <c r="F272" s="2" t="s">
        <v>236</v>
      </c>
      <c r="G272" s="2">
        <v>8.0</v>
      </c>
      <c r="H272" s="8"/>
      <c r="I272" s="8"/>
      <c r="J272" s="8"/>
    </row>
    <row r="273" hidden="1">
      <c r="A273" s="2" t="s">
        <v>39</v>
      </c>
      <c r="B273" s="2" t="s">
        <v>37</v>
      </c>
      <c r="C273" s="6">
        <v>46125.0</v>
      </c>
      <c r="D273" s="7">
        <v>0.6145833333333334</v>
      </c>
      <c r="E273" s="7">
        <v>0.90625</v>
      </c>
      <c r="F273" s="2" t="s">
        <v>237</v>
      </c>
      <c r="G273" s="2">
        <v>12.0</v>
      </c>
      <c r="H273" s="8"/>
      <c r="I273" s="8"/>
      <c r="J273" s="8"/>
    </row>
    <row r="274" hidden="1">
      <c r="A274" s="2" t="s">
        <v>150</v>
      </c>
      <c r="B274" s="2" t="s">
        <v>34</v>
      </c>
      <c r="C274" s="6">
        <v>46125.0</v>
      </c>
      <c r="D274" s="7">
        <v>0.6180555555555556</v>
      </c>
      <c r="E274" s="7">
        <v>0.9027777777777778</v>
      </c>
      <c r="F274" s="2" t="s">
        <v>146</v>
      </c>
      <c r="G274" s="2">
        <v>8.0</v>
      </c>
      <c r="H274" s="2">
        <v>8.0</v>
      </c>
      <c r="I274" s="8"/>
      <c r="J274" s="8"/>
    </row>
    <row r="275" hidden="1">
      <c r="A275" s="2" t="s">
        <v>13</v>
      </c>
      <c r="B275" s="2" t="s">
        <v>14</v>
      </c>
      <c r="C275" s="6">
        <v>46126.0</v>
      </c>
      <c r="D275" s="7">
        <v>0.3125</v>
      </c>
      <c r="E275" s="7">
        <v>0.5833333333333334</v>
      </c>
      <c r="F275" s="2" t="s">
        <v>146</v>
      </c>
      <c r="G275" s="2">
        <v>12.0</v>
      </c>
      <c r="H275" s="8"/>
      <c r="I275" s="8"/>
      <c r="J275" s="8"/>
    </row>
    <row r="276" hidden="1">
      <c r="A276" s="2" t="s">
        <v>126</v>
      </c>
      <c r="B276" s="2" t="s">
        <v>172</v>
      </c>
      <c r="C276" s="6">
        <v>46126.0</v>
      </c>
      <c r="D276" s="7">
        <v>0.3576388888888889</v>
      </c>
      <c r="E276" s="7">
        <v>0.6041666666666666</v>
      </c>
      <c r="F276" s="2" t="s">
        <v>238</v>
      </c>
      <c r="G276" s="2">
        <v>1.0</v>
      </c>
      <c r="H276" s="2">
        <v>1.0</v>
      </c>
      <c r="I276" s="8"/>
      <c r="J276" s="8"/>
    </row>
    <row r="277" hidden="1">
      <c r="A277" s="2" t="s">
        <v>16</v>
      </c>
      <c r="B277" s="2" t="s">
        <v>17</v>
      </c>
      <c r="C277" s="6">
        <v>46126.0</v>
      </c>
      <c r="D277" s="7">
        <v>0.5069444444444444</v>
      </c>
      <c r="E277" s="7">
        <v>0.6041666666666666</v>
      </c>
      <c r="F277" s="2" t="s">
        <v>239</v>
      </c>
      <c r="G277" s="2">
        <v>10.0</v>
      </c>
      <c r="H277" s="2">
        <v>10.0</v>
      </c>
      <c r="I277" s="8"/>
      <c r="J277" s="8"/>
    </row>
    <row r="278" hidden="1">
      <c r="A278" s="2" t="s">
        <v>41</v>
      </c>
      <c r="B278" s="2" t="s">
        <v>42</v>
      </c>
      <c r="C278" s="6">
        <v>46126.0</v>
      </c>
      <c r="D278" s="7">
        <v>0.5138888888888888</v>
      </c>
      <c r="E278" s="7">
        <v>0.6875</v>
      </c>
      <c r="F278" s="2" t="s">
        <v>146</v>
      </c>
      <c r="G278" s="2">
        <v>12.0</v>
      </c>
      <c r="H278" s="2"/>
      <c r="I278" s="8"/>
      <c r="J278" s="8"/>
    </row>
    <row r="279" hidden="1">
      <c r="A279" s="2" t="s">
        <v>240</v>
      </c>
      <c r="B279" s="2" t="s">
        <v>81</v>
      </c>
      <c r="C279" s="6">
        <v>46126.0</v>
      </c>
      <c r="D279" s="7">
        <v>0.5902777777777778</v>
      </c>
      <c r="E279" s="7">
        <v>0.7083333333333334</v>
      </c>
      <c r="F279" s="2" t="s">
        <v>241</v>
      </c>
      <c r="G279" s="2">
        <v>2.0</v>
      </c>
      <c r="H279" s="2">
        <v>2.0</v>
      </c>
      <c r="I279" s="8"/>
      <c r="J279" s="8"/>
    </row>
    <row r="280" hidden="1">
      <c r="A280" s="2" t="s">
        <v>242</v>
      </c>
      <c r="B280" s="2" t="s">
        <v>243</v>
      </c>
      <c r="C280" s="6">
        <v>46126.0</v>
      </c>
      <c r="D280" s="7">
        <v>0.5902777777777778</v>
      </c>
      <c r="E280" s="7">
        <v>0.9166666666666666</v>
      </c>
      <c r="F280" s="2" t="s">
        <v>241</v>
      </c>
      <c r="G280" s="2">
        <v>2.0</v>
      </c>
      <c r="H280" s="2">
        <v>2.0</v>
      </c>
      <c r="I280" s="8"/>
      <c r="J280" s="8"/>
    </row>
    <row r="281" hidden="1">
      <c r="A281" s="2" t="s">
        <v>244</v>
      </c>
      <c r="B281" s="2" t="s">
        <v>245</v>
      </c>
      <c r="C281" s="6">
        <v>46126.0</v>
      </c>
      <c r="D281" s="7">
        <v>0.7708333333333334</v>
      </c>
      <c r="E281" s="7">
        <v>0.90625</v>
      </c>
      <c r="F281" s="8"/>
      <c r="G281" s="2">
        <v>18.0</v>
      </c>
      <c r="H281" s="8"/>
      <c r="I281" s="8"/>
      <c r="J281" s="8"/>
    </row>
    <row r="282" hidden="1">
      <c r="A282" s="2" t="s">
        <v>39</v>
      </c>
      <c r="B282" s="8"/>
      <c r="C282" s="6">
        <v>46126.0</v>
      </c>
      <c r="D282" s="7">
        <v>0.6145833333333334</v>
      </c>
      <c r="E282" s="7">
        <v>0.90625</v>
      </c>
      <c r="F282" s="2" t="s">
        <v>246</v>
      </c>
      <c r="G282" s="2">
        <v>12.0</v>
      </c>
      <c r="H282" s="8"/>
      <c r="I282" s="8"/>
      <c r="J282" s="8"/>
    </row>
    <row r="283" hidden="1">
      <c r="A283" s="2" t="s">
        <v>52</v>
      </c>
      <c r="B283" s="2" t="s">
        <v>86</v>
      </c>
      <c r="C283" s="6">
        <v>46127.0</v>
      </c>
      <c r="D283" s="7">
        <v>0.34375</v>
      </c>
      <c r="E283" s="7">
        <v>0.4756944444444444</v>
      </c>
      <c r="F283" s="2" t="s">
        <v>241</v>
      </c>
      <c r="G283" s="2">
        <v>6.0</v>
      </c>
      <c r="H283" s="2">
        <v>6.0</v>
      </c>
      <c r="I283" s="8"/>
      <c r="J283" s="8"/>
    </row>
    <row r="284" hidden="1">
      <c r="A284" s="2" t="s">
        <v>247</v>
      </c>
      <c r="B284" s="2" t="s">
        <v>42</v>
      </c>
      <c r="C284" s="6">
        <v>46127.0</v>
      </c>
      <c r="D284" s="7">
        <v>0.5208333333333334</v>
      </c>
      <c r="E284" s="7">
        <v>0.6875</v>
      </c>
      <c r="F284" s="2" t="s">
        <v>146</v>
      </c>
      <c r="G284" s="2">
        <v>12.0</v>
      </c>
      <c r="H284" s="8"/>
      <c r="I284" s="8"/>
      <c r="J284" s="8"/>
    </row>
    <row r="285" hidden="1">
      <c r="A285" s="2" t="s">
        <v>39</v>
      </c>
      <c r="B285" s="13" t="s">
        <v>248</v>
      </c>
      <c r="C285" s="6">
        <v>46127.0</v>
      </c>
      <c r="D285" s="7">
        <v>0.6145833333333334</v>
      </c>
      <c r="E285" s="7">
        <v>0.90625</v>
      </c>
      <c r="F285" s="2" t="s">
        <v>146</v>
      </c>
      <c r="G285" s="2">
        <v>8.0</v>
      </c>
      <c r="H285" s="8"/>
      <c r="I285" s="8"/>
      <c r="J285" s="8"/>
    </row>
    <row r="286" hidden="1">
      <c r="A286" s="2" t="s">
        <v>57</v>
      </c>
      <c r="B286" s="2" t="s">
        <v>96</v>
      </c>
      <c r="C286" s="6">
        <v>46128.0</v>
      </c>
      <c r="D286" s="7">
        <v>0.7708333333333334</v>
      </c>
      <c r="E286" s="7">
        <v>0.90625</v>
      </c>
      <c r="F286" s="2" t="s">
        <v>140</v>
      </c>
      <c r="G286" s="2">
        <v>18.0</v>
      </c>
      <c r="H286" s="8"/>
      <c r="I286" s="8"/>
      <c r="J286" s="8"/>
    </row>
    <row r="287" hidden="1">
      <c r="A287" s="2" t="s">
        <v>24</v>
      </c>
      <c r="B287" s="2" t="s">
        <v>243</v>
      </c>
      <c r="C287" s="6">
        <v>46128.0</v>
      </c>
      <c r="D287" s="7">
        <v>0.5694444444444444</v>
      </c>
      <c r="E287" s="7">
        <v>0.90625</v>
      </c>
      <c r="F287" s="2" t="s">
        <v>140</v>
      </c>
      <c r="G287" s="2">
        <v>5.0</v>
      </c>
      <c r="H287" s="8"/>
      <c r="I287" s="8"/>
      <c r="J287" s="8"/>
    </row>
    <row r="288" hidden="1">
      <c r="A288" s="2" t="s">
        <v>62</v>
      </c>
      <c r="B288" s="2" t="s">
        <v>37</v>
      </c>
      <c r="C288" s="6">
        <v>46128.0</v>
      </c>
      <c r="D288" s="7">
        <v>0.625</v>
      </c>
      <c r="E288" s="7">
        <v>0.8958333333333334</v>
      </c>
      <c r="F288" s="2" t="s">
        <v>146</v>
      </c>
      <c r="G288" s="2">
        <v>12.0</v>
      </c>
      <c r="H288" s="8"/>
      <c r="I288" s="8"/>
      <c r="J288" s="8"/>
    </row>
    <row r="289" hidden="1">
      <c r="A289" s="2" t="s">
        <v>41</v>
      </c>
      <c r="B289" s="2" t="s">
        <v>42</v>
      </c>
      <c r="C289" s="6">
        <v>46129.0</v>
      </c>
      <c r="D289" s="7">
        <v>0.3125</v>
      </c>
      <c r="E289" s="7">
        <v>0.6875</v>
      </c>
      <c r="F289" s="2" t="s">
        <v>146</v>
      </c>
      <c r="G289" s="2">
        <v>12.0</v>
      </c>
      <c r="H289" s="8"/>
      <c r="I289" s="8"/>
      <c r="J289" s="8"/>
    </row>
    <row r="290" hidden="1">
      <c r="A290" s="2" t="s">
        <v>194</v>
      </c>
      <c r="B290" s="2" t="s">
        <v>86</v>
      </c>
      <c r="C290" s="6">
        <v>46129.0</v>
      </c>
      <c r="D290" s="7">
        <v>0.3125</v>
      </c>
      <c r="E290" s="7">
        <v>0.6875</v>
      </c>
      <c r="F290" s="2" t="s">
        <v>241</v>
      </c>
      <c r="G290" s="2">
        <v>5.0</v>
      </c>
      <c r="H290" s="8"/>
      <c r="I290" s="8"/>
      <c r="J290" s="8"/>
    </row>
    <row r="291" hidden="1">
      <c r="A291" s="2" t="s">
        <v>230</v>
      </c>
      <c r="B291" s="2" t="s">
        <v>231</v>
      </c>
      <c r="C291" s="6">
        <v>46129.0</v>
      </c>
      <c r="D291" s="7">
        <v>0.5208333333333334</v>
      </c>
      <c r="E291" s="7">
        <v>0.6041666666666666</v>
      </c>
      <c r="F291" s="2" t="s">
        <v>249</v>
      </c>
      <c r="G291" s="2">
        <v>12.0</v>
      </c>
      <c r="H291" s="8"/>
      <c r="I291" s="2"/>
      <c r="J291" s="8"/>
    </row>
    <row r="292" hidden="1">
      <c r="A292" s="2" t="s">
        <v>59</v>
      </c>
      <c r="B292" s="2" t="s">
        <v>60</v>
      </c>
      <c r="C292" s="6">
        <v>46129.0</v>
      </c>
      <c r="D292" s="7">
        <v>0.6145833333333334</v>
      </c>
      <c r="E292" s="7">
        <v>0.7152777777777778</v>
      </c>
      <c r="F292" s="2" t="s">
        <v>250</v>
      </c>
      <c r="G292" s="2">
        <v>11.0</v>
      </c>
      <c r="H292" s="8"/>
      <c r="I292" s="8"/>
      <c r="J292" s="8"/>
    </row>
    <row r="293" hidden="1">
      <c r="A293" s="2" t="s">
        <v>13</v>
      </c>
      <c r="B293" s="2" t="s">
        <v>99</v>
      </c>
      <c r="C293" s="6">
        <v>46129.0</v>
      </c>
      <c r="D293" s="7">
        <v>0.6458333333333334</v>
      </c>
      <c r="E293" s="7">
        <v>0.7152777777777778</v>
      </c>
      <c r="F293" s="2" t="s">
        <v>44</v>
      </c>
      <c r="G293" s="2">
        <v>10.0</v>
      </c>
      <c r="H293" s="8"/>
      <c r="I293" s="8"/>
      <c r="J293" s="8"/>
    </row>
    <row r="294" hidden="1">
      <c r="A294" s="2" t="s">
        <v>52</v>
      </c>
      <c r="B294" s="2" t="s">
        <v>86</v>
      </c>
      <c r="C294" s="6">
        <v>45769.0</v>
      </c>
      <c r="D294" s="7">
        <v>0.3333333333333333</v>
      </c>
      <c r="E294" s="7">
        <v>0.4756944444444444</v>
      </c>
      <c r="F294" s="2" t="s">
        <v>251</v>
      </c>
      <c r="G294" s="2">
        <v>4.0</v>
      </c>
      <c r="H294" s="2">
        <v>4.0</v>
      </c>
      <c r="I294" s="8"/>
      <c r="J294" s="8"/>
    </row>
    <row r="295" hidden="1">
      <c r="A295" s="2" t="s">
        <v>79</v>
      </c>
      <c r="B295" s="2" t="s">
        <v>100</v>
      </c>
      <c r="C295" s="6">
        <v>46134.0</v>
      </c>
      <c r="D295" s="7">
        <v>0.75</v>
      </c>
      <c r="E295" s="7">
        <v>0.90625</v>
      </c>
      <c r="F295" s="2" t="s">
        <v>44</v>
      </c>
      <c r="G295" s="2">
        <v>24.0</v>
      </c>
      <c r="H295" s="8"/>
      <c r="I295" s="8"/>
      <c r="J295" s="8"/>
    </row>
    <row r="296" hidden="1">
      <c r="A296" s="2" t="s">
        <v>39</v>
      </c>
      <c r="B296" s="2" t="s">
        <v>174</v>
      </c>
      <c r="C296" s="9">
        <v>46134.0</v>
      </c>
      <c r="D296" s="7">
        <v>0.75</v>
      </c>
      <c r="E296" s="7">
        <v>0.90625</v>
      </c>
      <c r="F296" s="2" t="s">
        <v>252</v>
      </c>
      <c r="G296" s="2">
        <v>6.0</v>
      </c>
      <c r="H296" s="8"/>
      <c r="I296" s="8"/>
      <c r="J296" s="8"/>
    </row>
    <row r="297" hidden="1">
      <c r="A297" s="2" t="s">
        <v>130</v>
      </c>
      <c r="B297" s="2" t="s">
        <v>30</v>
      </c>
      <c r="C297" s="9">
        <v>46135.0</v>
      </c>
      <c r="D297" s="7">
        <v>0.6145833333333334</v>
      </c>
      <c r="E297" s="7">
        <v>0.90625</v>
      </c>
      <c r="F297" s="2" t="s">
        <v>140</v>
      </c>
      <c r="G297" s="2">
        <v>22.0</v>
      </c>
      <c r="H297" s="8"/>
      <c r="I297" s="8"/>
      <c r="J297" s="8"/>
    </row>
    <row r="298" hidden="1">
      <c r="A298" s="2" t="s">
        <v>122</v>
      </c>
      <c r="B298" s="2" t="s">
        <v>253</v>
      </c>
      <c r="C298" s="12">
        <v>46135.0</v>
      </c>
      <c r="D298" s="7">
        <v>0.3125</v>
      </c>
      <c r="E298" s="7">
        <v>0.6041666666666666</v>
      </c>
      <c r="F298" s="2" t="s">
        <v>140</v>
      </c>
      <c r="G298" s="2">
        <v>2.0</v>
      </c>
      <c r="H298" s="8"/>
      <c r="I298" s="8"/>
      <c r="J298" s="8"/>
    </row>
    <row r="299" hidden="1">
      <c r="A299" s="2" t="s">
        <v>57</v>
      </c>
      <c r="B299" s="2" t="s">
        <v>254</v>
      </c>
      <c r="C299" s="9">
        <v>46136.0</v>
      </c>
      <c r="D299" s="7">
        <v>0.6145833333333334</v>
      </c>
      <c r="E299" s="7">
        <v>0.7291666666666666</v>
      </c>
      <c r="F299" s="2" t="s">
        <v>140</v>
      </c>
      <c r="G299" s="2">
        <v>18.0</v>
      </c>
      <c r="H299" s="8"/>
      <c r="I299" s="8"/>
      <c r="J299" s="8"/>
    </row>
    <row r="300" hidden="1">
      <c r="A300" s="2" t="s">
        <v>41</v>
      </c>
      <c r="B300" s="2" t="s">
        <v>69</v>
      </c>
      <c r="C300" s="9">
        <v>46136.0</v>
      </c>
      <c r="D300" s="7">
        <v>0.3125</v>
      </c>
      <c r="E300" s="7">
        <v>0.6875</v>
      </c>
      <c r="F300" s="2" t="s">
        <v>252</v>
      </c>
      <c r="G300" s="2">
        <v>12.0</v>
      </c>
      <c r="H300" s="8"/>
      <c r="I300" s="8"/>
      <c r="J300" s="8"/>
    </row>
    <row r="301" hidden="1">
      <c r="A301" s="2" t="s">
        <v>122</v>
      </c>
      <c r="B301" s="2" t="s">
        <v>253</v>
      </c>
      <c r="C301" s="12">
        <v>46136.0</v>
      </c>
      <c r="D301" s="7">
        <v>0.3333333333333333</v>
      </c>
      <c r="E301" s="7">
        <v>0.6041666666666666</v>
      </c>
      <c r="F301" s="2" t="s">
        <v>186</v>
      </c>
      <c r="G301" s="2">
        <v>2.0</v>
      </c>
      <c r="H301" s="8"/>
      <c r="I301" s="8"/>
      <c r="J301" s="8"/>
    </row>
    <row r="302" hidden="1">
      <c r="A302" s="2" t="s">
        <v>39</v>
      </c>
      <c r="B302" s="2" t="s">
        <v>255</v>
      </c>
      <c r="C302" s="12">
        <v>46140.0</v>
      </c>
      <c r="D302" s="7">
        <v>0.6145833333333334</v>
      </c>
      <c r="E302" s="7">
        <v>0.90625</v>
      </c>
      <c r="F302" s="2" t="s">
        <v>256</v>
      </c>
      <c r="G302" s="2">
        <v>13.0</v>
      </c>
      <c r="H302" s="8"/>
      <c r="I302" s="8"/>
      <c r="J302" s="8"/>
    </row>
    <row r="303" hidden="1">
      <c r="A303" s="2" t="s">
        <v>122</v>
      </c>
      <c r="B303" s="2" t="s">
        <v>253</v>
      </c>
      <c r="C303" s="12">
        <v>46140.0</v>
      </c>
      <c r="D303" s="7">
        <v>0.3125</v>
      </c>
      <c r="E303" s="7">
        <v>0.5</v>
      </c>
      <c r="F303" s="2" t="s">
        <v>186</v>
      </c>
      <c r="G303" s="2">
        <v>2.0</v>
      </c>
      <c r="H303" s="8"/>
      <c r="I303" s="8"/>
      <c r="J303" s="8"/>
    </row>
    <row r="304" hidden="1">
      <c r="A304" s="2" t="s">
        <v>13</v>
      </c>
      <c r="B304" s="2" t="s">
        <v>42</v>
      </c>
      <c r="C304" s="12">
        <v>46140.0</v>
      </c>
      <c r="D304" s="7">
        <v>0.5208333333333334</v>
      </c>
      <c r="E304" s="8"/>
      <c r="F304" s="2" t="s">
        <v>186</v>
      </c>
      <c r="G304" s="2">
        <v>14.0</v>
      </c>
      <c r="H304" s="8"/>
      <c r="I304" s="8"/>
      <c r="J304" s="8"/>
    </row>
    <row r="305" hidden="1">
      <c r="A305" s="2" t="s">
        <v>244</v>
      </c>
      <c r="B305" s="2" t="s">
        <v>245</v>
      </c>
      <c r="C305" s="9">
        <v>46140.0</v>
      </c>
      <c r="D305" s="7">
        <v>0.7708333333333334</v>
      </c>
      <c r="E305" s="7">
        <v>0.875</v>
      </c>
      <c r="F305" s="2" t="s">
        <v>61</v>
      </c>
      <c r="G305" s="2">
        <v>17.0</v>
      </c>
      <c r="H305" s="8"/>
      <c r="I305" s="8"/>
      <c r="J305" s="8"/>
    </row>
    <row r="306" hidden="1">
      <c r="A306" s="2" t="s">
        <v>150</v>
      </c>
      <c r="B306" s="2" t="s">
        <v>34</v>
      </c>
      <c r="C306" s="6">
        <v>46140.0</v>
      </c>
      <c r="D306" s="7">
        <v>0.6180555555555556</v>
      </c>
      <c r="E306" s="7">
        <v>0.9027777777777778</v>
      </c>
      <c r="F306" s="2" t="s">
        <v>146</v>
      </c>
      <c r="G306" s="2">
        <v>4.0</v>
      </c>
      <c r="H306" s="8"/>
      <c r="I306" s="8"/>
      <c r="J306" s="8"/>
    </row>
    <row r="307" hidden="1">
      <c r="A307" s="2" t="s">
        <v>257</v>
      </c>
      <c r="B307" s="2" t="s">
        <v>258</v>
      </c>
      <c r="C307" s="9">
        <v>46141.0</v>
      </c>
      <c r="D307" s="7">
        <v>0.3263888888888889</v>
      </c>
      <c r="E307" s="7">
        <v>0.6041666666666666</v>
      </c>
      <c r="F307" s="2" t="s">
        <v>113</v>
      </c>
      <c r="G307" s="2">
        <v>5.0</v>
      </c>
      <c r="H307" s="8"/>
      <c r="I307" s="8"/>
      <c r="J307" s="8"/>
    </row>
    <row r="308" hidden="1">
      <c r="A308" s="2" t="s">
        <v>122</v>
      </c>
      <c r="B308" s="2" t="s">
        <v>255</v>
      </c>
      <c r="C308" s="12">
        <v>46141.0</v>
      </c>
      <c r="D308" s="7">
        <v>0.6145833333333334</v>
      </c>
      <c r="E308" s="7">
        <v>0.7222222222222222</v>
      </c>
      <c r="F308" s="2" t="s">
        <v>259</v>
      </c>
      <c r="G308" s="2">
        <v>15.0</v>
      </c>
      <c r="H308" s="8"/>
      <c r="I308" s="8"/>
      <c r="J308" s="8"/>
    </row>
    <row r="309" hidden="1">
      <c r="A309" s="2" t="s">
        <v>260</v>
      </c>
      <c r="B309" s="14" t="s">
        <v>261</v>
      </c>
      <c r="C309" s="12">
        <v>46141.0</v>
      </c>
      <c r="D309" s="7">
        <v>0.6145833333333334</v>
      </c>
      <c r="E309" s="7">
        <v>0.7222222222222222</v>
      </c>
      <c r="F309" s="2" t="s">
        <v>259</v>
      </c>
      <c r="G309" s="2">
        <v>19.0</v>
      </c>
      <c r="H309" s="2"/>
      <c r="I309" s="8"/>
      <c r="J309" s="8"/>
    </row>
    <row r="310" hidden="1">
      <c r="A310" s="2" t="s">
        <v>122</v>
      </c>
      <c r="B310" s="2" t="s">
        <v>253</v>
      </c>
      <c r="C310" s="12">
        <v>46142.0</v>
      </c>
      <c r="D310" s="7">
        <v>0.3125</v>
      </c>
      <c r="E310" s="7">
        <v>0.6041666666666666</v>
      </c>
      <c r="F310" s="2" t="s">
        <v>113</v>
      </c>
      <c r="G310" s="2">
        <v>2.0</v>
      </c>
      <c r="H310" s="8"/>
      <c r="I310" s="8"/>
      <c r="J310" s="8"/>
    </row>
    <row r="311" hidden="1">
      <c r="A311" s="2" t="s">
        <v>130</v>
      </c>
      <c r="B311" s="2" t="s">
        <v>30</v>
      </c>
      <c r="C311" s="9">
        <v>46142.0</v>
      </c>
      <c r="D311" s="7">
        <v>0.6145833333333334</v>
      </c>
      <c r="E311" s="7">
        <v>0.90625</v>
      </c>
      <c r="F311" s="2" t="s">
        <v>140</v>
      </c>
      <c r="G311" s="2">
        <v>22.0</v>
      </c>
      <c r="H311" s="8"/>
      <c r="I311" s="8"/>
      <c r="J311" s="8"/>
    </row>
    <row r="312" hidden="1">
      <c r="A312" s="2" t="s">
        <v>207</v>
      </c>
      <c r="B312" s="2" t="s">
        <v>155</v>
      </c>
      <c r="C312" s="15">
        <v>46146.0</v>
      </c>
      <c r="D312" s="7">
        <v>0.6145833333333334</v>
      </c>
      <c r="E312" s="7">
        <v>0.90625</v>
      </c>
      <c r="F312" s="2" t="s">
        <v>154</v>
      </c>
      <c r="G312" s="2">
        <v>11.0</v>
      </c>
      <c r="H312" s="8"/>
      <c r="I312" s="8"/>
      <c r="J312" s="8"/>
    </row>
    <row r="313" hidden="1">
      <c r="A313" s="2" t="s">
        <v>257</v>
      </c>
      <c r="B313" s="2" t="s">
        <v>258</v>
      </c>
      <c r="C313" s="9">
        <v>46150.0</v>
      </c>
      <c r="D313" s="7">
        <v>0.3125</v>
      </c>
      <c r="E313" s="7">
        <v>0.6041666666666666</v>
      </c>
      <c r="F313" s="2" t="s">
        <v>262</v>
      </c>
      <c r="G313" s="2">
        <v>11.0</v>
      </c>
      <c r="H313" s="8"/>
      <c r="I313" s="8"/>
      <c r="J313" s="8"/>
    </row>
    <row r="314" hidden="1">
      <c r="A314" s="2" t="s">
        <v>257</v>
      </c>
      <c r="B314" s="2" t="s">
        <v>258</v>
      </c>
      <c r="C314" s="9">
        <v>46157.0</v>
      </c>
      <c r="D314" s="7">
        <v>0.3125</v>
      </c>
      <c r="E314" s="7">
        <v>0.6041666666666666</v>
      </c>
      <c r="F314" s="2" t="s">
        <v>262</v>
      </c>
      <c r="G314" s="2">
        <v>11.0</v>
      </c>
      <c r="H314" s="8"/>
      <c r="I314" s="8"/>
      <c r="J314" s="8"/>
    </row>
    <row r="315" hidden="1">
      <c r="A315" s="2" t="s">
        <v>122</v>
      </c>
      <c r="B315" s="2" t="s">
        <v>92</v>
      </c>
      <c r="C315" s="12">
        <v>46147.0</v>
      </c>
      <c r="D315" s="7">
        <v>0.3125</v>
      </c>
      <c r="E315" s="7">
        <v>0.6041666666666666</v>
      </c>
      <c r="F315" s="2" t="s">
        <v>154</v>
      </c>
      <c r="G315" s="2">
        <v>2.0</v>
      </c>
      <c r="H315" s="8"/>
      <c r="I315" s="8"/>
      <c r="J315" s="8"/>
    </row>
    <row r="316" hidden="1">
      <c r="A316" s="2" t="s">
        <v>41</v>
      </c>
      <c r="B316" s="2" t="s">
        <v>69</v>
      </c>
      <c r="C316" s="9">
        <v>46147.0</v>
      </c>
      <c r="D316" s="7">
        <v>0.5208333333333334</v>
      </c>
      <c r="E316" s="7">
        <v>0.6875</v>
      </c>
      <c r="F316" s="2" t="s">
        <v>154</v>
      </c>
      <c r="G316" s="2">
        <v>13.0</v>
      </c>
      <c r="H316" s="8"/>
      <c r="I316" s="8"/>
      <c r="J316" s="8"/>
    </row>
    <row r="317" hidden="1">
      <c r="A317" s="2" t="s">
        <v>39</v>
      </c>
      <c r="B317" s="2" t="s">
        <v>255</v>
      </c>
      <c r="C317" s="9">
        <v>46147.0</v>
      </c>
      <c r="D317" s="7">
        <v>0.6145833333333334</v>
      </c>
      <c r="E317" s="7">
        <v>0.90625</v>
      </c>
      <c r="F317" s="2" t="s">
        <v>246</v>
      </c>
      <c r="G317" s="2">
        <v>12.0</v>
      </c>
      <c r="H317" s="8"/>
      <c r="I317" s="8"/>
      <c r="J317" s="8"/>
    </row>
    <row r="318" hidden="1">
      <c r="A318" s="2" t="s">
        <v>39</v>
      </c>
      <c r="B318" s="2" t="s">
        <v>255</v>
      </c>
      <c r="C318" s="9">
        <v>46147.0</v>
      </c>
      <c r="D318" s="7">
        <v>0.78125</v>
      </c>
      <c r="E318" s="7">
        <v>0.90625</v>
      </c>
      <c r="F318" s="2" t="s">
        <v>246</v>
      </c>
      <c r="G318" s="2">
        <v>12.0</v>
      </c>
      <c r="H318" s="8"/>
      <c r="I318" s="8"/>
      <c r="J318" s="8"/>
    </row>
    <row r="319" hidden="1">
      <c r="A319" s="2" t="s">
        <v>234</v>
      </c>
      <c r="B319" s="2" t="s">
        <v>28</v>
      </c>
      <c r="C319" s="12">
        <v>46148.0</v>
      </c>
      <c r="D319" s="7">
        <v>0.3958333333333333</v>
      </c>
      <c r="E319" s="7">
        <v>0.4583333333333333</v>
      </c>
      <c r="F319" s="2" t="s">
        <v>263</v>
      </c>
      <c r="G319" s="2">
        <v>1.0</v>
      </c>
      <c r="H319" s="2"/>
      <c r="I319" s="8"/>
      <c r="J319" s="8"/>
    </row>
    <row r="320" hidden="1">
      <c r="A320" s="2" t="s">
        <v>122</v>
      </c>
      <c r="B320" s="2" t="s">
        <v>255</v>
      </c>
      <c r="C320" s="12">
        <v>46148.0</v>
      </c>
      <c r="D320" s="7">
        <v>0.6145833333333334</v>
      </c>
      <c r="E320" s="7">
        <v>0.7222222222222222</v>
      </c>
      <c r="F320" s="2" t="s">
        <v>259</v>
      </c>
      <c r="G320" s="2">
        <v>13.0</v>
      </c>
      <c r="H320" s="8"/>
      <c r="I320" s="8"/>
      <c r="J320" s="8"/>
    </row>
    <row r="321" hidden="1">
      <c r="A321" s="2" t="s">
        <v>188</v>
      </c>
      <c r="B321" s="2" t="s">
        <v>69</v>
      </c>
      <c r="C321" s="12">
        <v>46148.0</v>
      </c>
      <c r="D321" s="7">
        <v>0.5208333333333334</v>
      </c>
      <c r="E321" s="7">
        <v>0.6875</v>
      </c>
      <c r="F321" s="2" t="s">
        <v>263</v>
      </c>
      <c r="G321" s="2">
        <v>13.0</v>
      </c>
      <c r="H321" s="8"/>
      <c r="I321" s="8"/>
      <c r="J321" s="8"/>
    </row>
    <row r="322" hidden="1">
      <c r="A322" s="2" t="s">
        <v>224</v>
      </c>
      <c r="B322" s="2" t="s">
        <v>264</v>
      </c>
      <c r="C322" s="12">
        <v>46148.0</v>
      </c>
      <c r="D322" s="7">
        <v>0.5208333333333334</v>
      </c>
      <c r="E322" s="7">
        <v>0.6875</v>
      </c>
      <c r="F322" s="2" t="s">
        <v>263</v>
      </c>
      <c r="G322" s="2">
        <v>1.0</v>
      </c>
      <c r="H322" s="8"/>
      <c r="I322" s="8"/>
      <c r="J322" s="8"/>
    </row>
    <row r="323" hidden="1">
      <c r="A323" s="2" t="s">
        <v>39</v>
      </c>
      <c r="B323" s="2" t="s">
        <v>265</v>
      </c>
      <c r="C323" s="12">
        <v>46148.0</v>
      </c>
      <c r="D323" s="7">
        <v>0.6145833333333334</v>
      </c>
      <c r="E323" s="7">
        <v>0.90625</v>
      </c>
      <c r="F323" s="2" t="s">
        <v>263</v>
      </c>
      <c r="G323" s="2">
        <v>8.0</v>
      </c>
      <c r="H323" s="8"/>
      <c r="I323" s="8"/>
      <c r="J323" s="8"/>
    </row>
    <row r="324" hidden="1">
      <c r="A324" s="2" t="s">
        <v>62</v>
      </c>
      <c r="B324" s="2" t="s">
        <v>37</v>
      </c>
      <c r="C324" s="12">
        <v>46149.0</v>
      </c>
      <c r="D324" s="7">
        <v>0.6145833333333334</v>
      </c>
      <c r="E324" s="7">
        <v>0.875</v>
      </c>
      <c r="F324" s="2" t="s">
        <v>263</v>
      </c>
      <c r="G324" s="2">
        <v>22.0</v>
      </c>
      <c r="H324" s="8"/>
      <c r="I324" s="8"/>
      <c r="J324" s="8"/>
    </row>
    <row r="325" hidden="1">
      <c r="A325" s="2" t="s">
        <v>130</v>
      </c>
      <c r="B325" s="2" t="s">
        <v>30</v>
      </c>
      <c r="C325" s="9">
        <v>46149.0</v>
      </c>
      <c r="D325" s="7">
        <v>0.6145833333333334</v>
      </c>
      <c r="E325" s="7">
        <v>0.90625</v>
      </c>
      <c r="F325" s="2" t="s">
        <v>140</v>
      </c>
      <c r="G325" s="2">
        <v>22.0</v>
      </c>
      <c r="H325" s="8"/>
      <c r="I325" s="8"/>
      <c r="J325" s="8"/>
    </row>
    <row r="326" hidden="1">
      <c r="A326" s="2" t="s">
        <v>41</v>
      </c>
      <c r="B326" s="2" t="s">
        <v>258</v>
      </c>
      <c r="C326" s="9">
        <v>46150.0</v>
      </c>
      <c r="D326" s="7">
        <v>0.3125</v>
      </c>
      <c r="E326" s="7">
        <v>0.6875</v>
      </c>
      <c r="F326" s="2" t="s">
        <v>263</v>
      </c>
      <c r="G326" s="2">
        <v>13.0</v>
      </c>
      <c r="H326" s="8"/>
      <c r="I326" s="8"/>
      <c r="J326" s="8"/>
    </row>
    <row r="327" hidden="1">
      <c r="A327" s="2" t="s">
        <v>43</v>
      </c>
      <c r="B327" s="2" t="s">
        <v>17</v>
      </c>
      <c r="C327" s="9">
        <v>46150.0</v>
      </c>
      <c r="D327" s="7">
        <v>0.3125</v>
      </c>
      <c r="E327" s="7">
        <v>0.6041666666666666</v>
      </c>
      <c r="F327" s="2" t="s">
        <v>179</v>
      </c>
      <c r="G327" s="2">
        <v>22.0</v>
      </c>
      <c r="H327" s="8"/>
      <c r="I327" s="8"/>
      <c r="J327" s="8"/>
    </row>
    <row r="328" hidden="1">
      <c r="A328" s="2" t="s">
        <v>21</v>
      </c>
      <c r="B328" s="2" t="s">
        <v>100</v>
      </c>
      <c r="C328" s="9">
        <v>46150.0</v>
      </c>
      <c r="D328" s="7">
        <v>0.625</v>
      </c>
      <c r="E328" s="7">
        <v>0.7222222222222222</v>
      </c>
      <c r="F328" s="2" t="s">
        <v>266</v>
      </c>
      <c r="G328" s="2">
        <v>12.0</v>
      </c>
      <c r="H328" s="8"/>
      <c r="I328" s="8"/>
      <c r="J328" s="8"/>
    </row>
    <row r="329" hidden="1">
      <c r="A329" s="2" t="s">
        <v>130</v>
      </c>
      <c r="B329" s="2" t="s">
        <v>267</v>
      </c>
      <c r="C329" s="9">
        <v>46150.0</v>
      </c>
      <c r="D329" s="7">
        <v>0.625</v>
      </c>
      <c r="E329" s="7">
        <v>0.71875</v>
      </c>
      <c r="F329" s="2" t="s">
        <v>140</v>
      </c>
      <c r="G329" s="2">
        <v>11.0</v>
      </c>
      <c r="H329" s="8"/>
      <c r="I329" s="8"/>
      <c r="J329" s="8"/>
    </row>
    <row r="330" hidden="1">
      <c r="A330" s="2" t="s">
        <v>62</v>
      </c>
      <c r="B330" s="2" t="s">
        <v>37</v>
      </c>
      <c r="C330" s="9">
        <v>46150.0</v>
      </c>
      <c r="D330" s="7">
        <v>0.6666666666666666</v>
      </c>
      <c r="E330" s="7">
        <v>0.8541666666666666</v>
      </c>
      <c r="F330" s="2" t="s">
        <v>263</v>
      </c>
      <c r="G330" s="2">
        <v>2.0</v>
      </c>
      <c r="H330" s="8"/>
      <c r="I330" s="8"/>
      <c r="J330" s="8"/>
    </row>
    <row r="331" hidden="1">
      <c r="A331" s="2" t="s">
        <v>39</v>
      </c>
      <c r="B331" s="2" t="s">
        <v>99</v>
      </c>
      <c r="C331" s="9">
        <v>46150.0</v>
      </c>
      <c r="D331" s="7">
        <v>0.7708333333333334</v>
      </c>
      <c r="E331" s="7">
        <v>0.8958333333333334</v>
      </c>
      <c r="F331" s="2" t="s">
        <v>268</v>
      </c>
      <c r="G331" s="2">
        <v>12.0</v>
      </c>
      <c r="H331" s="8"/>
      <c r="I331" s="8"/>
      <c r="J331" s="8"/>
    </row>
    <row r="332" hidden="1">
      <c r="A332" s="2" t="s">
        <v>269</v>
      </c>
      <c r="B332" s="2" t="s">
        <v>172</v>
      </c>
      <c r="C332" s="9">
        <v>46153.0</v>
      </c>
      <c r="D332" s="7">
        <v>0.3125</v>
      </c>
      <c r="E332" s="7">
        <v>0.6041666666666666</v>
      </c>
      <c r="F332" s="2" t="s">
        <v>270</v>
      </c>
      <c r="G332" s="2">
        <v>12.0</v>
      </c>
      <c r="H332" s="8"/>
      <c r="I332" s="8"/>
      <c r="J332" s="8"/>
    </row>
    <row r="333" hidden="1">
      <c r="A333" s="2" t="s">
        <v>257</v>
      </c>
      <c r="B333" s="2" t="s">
        <v>271</v>
      </c>
      <c r="C333" s="9">
        <v>46153.0</v>
      </c>
      <c r="D333" s="7">
        <v>0.5208333333333334</v>
      </c>
      <c r="E333" s="7">
        <v>0.6875</v>
      </c>
      <c r="F333" s="2" t="s">
        <v>263</v>
      </c>
      <c r="G333" s="2">
        <v>4.0</v>
      </c>
      <c r="H333" s="8"/>
      <c r="I333" s="8"/>
      <c r="J333" s="8"/>
    </row>
    <row r="334" hidden="1">
      <c r="A334" s="2" t="s">
        <v>272</v>
      </c>
      <c r="B334" s="2" t="s">
        <v>75</v>
      </c>
      <c r="C334" s="9">
        <v>46153.0</v>
      </c>
      <c r="D334" s="7">
        <v>0.6145833333333334</v>
      </c>
      <c r="E334" s="7">
        <v>0.7291666666666666</v>
      </c>
      <c r="F334" s="2" t="s">
        <v>273</v>
      </c>
      <c r="G334" s="2">
        <v>22.0</v>
      </c>
      <c r="H334" s="2">
        <v>22.0</v>
      </c>
      <c r="I334" s="8"/>
      <c r="J334" s="8"/>
    </row>
    <row r="335" hidden="1">
      <c r="A335" s="2" t="s">
        <v>185</v>
      </c>
      <c r="B335" s="2" t="s">
        <v>37</v>
      </c>
      <c r="C335" s="9">
        <v>46153.0</v>
      </c>
      <c r="D335" s="7">
        <v>0.6145833333333334</v>
      </c>
      <c r="E335" s="7">
        <v>0.90625</v>
      </c>
      <c r="F335" s="2" t="s">
        <v>263</v>
      </c>
      <c r="G335" s="2">
        <v>12.0</v>
      </c>
      <c r="H335" s="8"/>
      <c r="I335" s="8"/>
      <c r="J335" s="8"/>
    </row>
    <row r="336" hidden="1">
      <c r="A336" s="2" t="s">
        <v>272</v>
      </c>
      <c r="B336" s="2" t="s">
        <v>75</v>
      </c>
      <c r="C336" s="9">
        <v>46153.0</v>
      </c>
      <c r="D336" s="7">
        <v>0.7361111111111112</v>
      </c>
      <c r="E336" s="7">
        <v>0.90625</v>
      </c>
      <c r="F336" s="2" t="s">
        <v>273</v>
      </c>
      <c r="G336" s="2">
        <v>3.0</v>
      </c>
      <c r="H336" s="2">
        <v>3.0</v>
      </c>
      <c r="I336" s="8"/>
      <c r="J336" s="8"/>
    </row>
    <row r="337" hidden="1">
      <c r="A337" s="2" t="s">
        <v>41</v>
      </c>
      <c r="B337" s="2" t="s">
        <v>42</v>
      </c>
      <c r="C337" s="9">
        <v>46154.0</v>
      </c>
      <c r="D337" s="7">
        <v>0.5208333333333334</v>
      </c>
      <c r="E337" s="7">
        <v>0.6875</v>
      </c>
      <c r="F337" s="2" t="s">
        <v>263</v>
      </c>
      <c r="G337" s="8"/>
      <c r="H337" s="8"/>
      <c r="I337" s="8"/>
      <c r="J337" s="8"/>
    </row>
    <row r="338" hidden="1">
      <c r="A338" s="2" t="s">
        <v>257</v>
      </c>
      <c r="B338" s="2" t="s">
        <v>271</v>
      </c>
      <c r="C338" s="9">
        <v>46154.0</v>
      </c>
      <c r="D338" s="7">
        <v>0.5208333333333334</v>
      </c>
      <c r="E338" s="7">
        <v>0.6875</v>
      </c>
      <c r="F338" s="2" t="s">
        <v>263</v>
      </c>
      <c r="G338" s="2">
        <v>3.0</v>
      </c>
      <c r="H338" s="8"/>
      <c r="I338" s="8"/>
      <c r="J338" s="8"/>
    </row>
    <row r="339" hidden="1">
      <c r="A339" s="2" t="s">
        <v>274</v>
      </c>
      <c r="B339" s="2" t="s">
        <v>275</v>
      </c>
      <c r="C339" s="9">
        <v>46154.0</v>
      </c>
      <c r="D339" s="7">
        <v>0.6145833333333334</v>
      </c>
      <c r="E339" s="7">
        <v>0.90625</v>
      </c>
      <c r="F339" s="2" t="s">
        <v>276</v>
      </c>
      <c r="G339" s="2">
        <v>18.0</v>
      </c>
      <c r="H339" s="8"/>
      <c r="I339" s="8"/>
      <c r="J339" s="8"/>
      <c r="AA339" s="11" t="s">
        <v>277</v>
      </c>
    </row>
    <row r="340" hidden="1">
      <c r="A340" s="2" t="s">
        <v>52</v>
      </c>
      <c r="B340" s="2" t="s">
        <v>86</v>
      </c>
      <c r="C340" s="9">
        <v>46155.0</v>
      </c>
      <c r="D340" s="7">
        <v>0.4201388888888889</v>
      </c>
      <c r="E340" s="7">
        <v>0.6041666666666666</v>
      </c>
      <c r="F340" s="2" t="s">
        <v>278</v>
      </c>
      <c r="G340" s="2">
        <v>1.0</v>
      </c>
      <c r="H340" s="8"/>
      <c r="I340" s="8"/>
      <c r="J340" s="8"/>
    </row>
    <row r="341" hidden="1">
      <c r="A341" s="2" t="s">
        <v>41</v>
      </c>
      <c r="B341" s="2" t="s">
        <v>69</v>
      </c>
      <c r="C341" s="9">
        <v>46155.0</v>
      </c>
      <c r="D341" s="7">
        <v>0.5208333333333334</v>
      </c>
      <c r="E341" s="7">
        <v>0.6875</v>
      </c>
      <c r="F341" s="2" t="s">
        <v>263</v>
      </c>
      <c r="G341" s="2">
        <v>13.0</v>
      </c>
      <c r="H341" s="8"/>
      <c r="I341" s="8"/>
      <c r="J341" s="8"/>
    </row>
    <row r="342" hidden="1">
      <c r="A342" s="2" t="s">
        <v>260</v>
      </c>
      <c r="B342" s="2" t="s">
        <v>100</v>
      </c>
      <c r="C342" s="9">
        <v>46155.0</v>
      </c>
      <c r="D342" s="7">
        <v>0.6145833333333334</v>
      </c>
      <c r="E342" s="7">
        <v>0.90625</v>
      </c>
      <c r="F342" s="2" t="s">
        <v>263</v>
      </c>
      <c r="G342" s="2">
        <v>24.0</v>
      </c>
      <c r="H342" s="8"/>
      <c r="I342" s="8"/>
      <c r="J342" s="8"/>
    </row>
    <row r="343" hidden="1">
      <c r="A343" s="2" t="s">
        <v>122</v>
      </c>
      <c r="B343" s="2" t="s">
        <v>255</v>
      </c>
      <c r="C343" s="9">
        <v>46155.0</v>
      </c>
      <c r="D343" s="7">
        <v>0.6145833333333334</v>
      </c>
      <c r="E343" s="7">
        <v>0.7222222222222222</v>
      </c>
      <c r="F343" s="2" t="s">
        <v>259</v>
      </c>
      <c r="G343" s="2">
        <v>12.0</v>
      </c>
      <c r="H343" s="8"/>
      <c r="I343" s="8"/>
      <c r="J343" s="8"/>
    </row>
    <row r="344" hidden="1">
      <c r="A344" s="2" t="s">
        <v>74</v>
      </c>
      <c r="B344" s="2" t="s">
        <v>25</v>
      </c>
      <c r="C344" s="9">
        <v>46155.0</v>
      </c>
      <c r="D344" s="7">
        <v>0.6145833333333334</v>
      </c>
      <c r="E344" s="7">
        <v>0.7222222222222222</v>
      </c>
      <c r="F344" s="2" t="s">
        <v>263</v>
      </c>
      <c r="G344" s="2">
        <v>8.0</v>
      </c>
      <c r="H344" s="8"/>
      <c r="I344" s="8"/>
      <c r="J344" s="8"/>
    </row>
    <row r="345" hidden="1">
      <c r="A345" s="2" t="s">
        <v>279</v>
      </c>
      <c r="B345" s="2" t="s">
        <v>77</v>
      </c>
      <c r="C345" s="9">
        <v>46155.0</v>
      </c>
      <c r="D345" s="7">
        <v>0.625</v>
      </c>
      <c r="E345" s="7">
        <v>0.7222222222222222</v>
      </c>
      <c r="F345" s="2" t="s">
        <v>280</v>
      </c>
      <c r="G345" s="2">
        <v>1.0</v>
      </c>
      <c r="H345" s="8"/>
      <c r="I345" s="8"/>
      <c r="J345" s="8"/>
    </row>
    <row r="346" hidden="1">
      <c r="A346" s="2" t="s">
        <v>122</v>
      </c>
      <c r="B346" s="2" t="s">
        <v>281</v>
      </c>
      <c r="C346" s="9">
        <v>46156.0</v>
      </c>
      <c r="D346" s="7">
        <v>0.4166666666666667</v>
      </c>
      <c r="E346" s="7">
        <v>0.46875</v>
      </c>
      <c r="F346" s="2" t="s">
        <v>280</v>
      </c>
      <c r="G346" s="2">
        <v>1.0</v>
      </c>
      <c r="H346" s="8"/>
      <c r="I346" s="8"/>
      <c r="J346" s="8"/>
    </row>
    <row r="347" hidden="1">
      <c r="A347" s="2" t="s">
        <v>57</v>
      </c>
      <c r="B347" s="2" t="s">
        <v>96</v>
      </c>
      <c r="C347" s="9">
        <v>46156.0</v>
      </c>
      <c r="D347" s="7">
        <v>0.7708333333333334</v>
      </c>
      <c r="E347" s="7">
        <v>0.875</v>
      </c>
      <c r="F347" s="2" t="s">
        <v>282</v>
      </c>
      <c r="G347" s="2">
        <v>18.0</v>
      </c>
      <c r="H347" s="8"/>
      <c r="I347" s="8"/>
      <c r="J347" s="8"/>
    </row>
    <row r="348" hidden="1">
      <c r="A348" s="2" t="s">
        <v>283</v>
      </c>
      <c r="B348" s="2" t="s">
        <v>30</v>
      </c>
      <c r="C348" s="9">
        <v>46156.0</v>
      </c>
      <c r="D348" s="7">
        <v>0.6145833333333334</v>
      </c>
      <c r="E348" s="7">
        <v>0.90625</v>
      </c>
      <c r="F348" s="2" t="s">
        <v>140</v>
      </c>
      <c r="G348" s="2">
        <v>22.0</v>
      </c>
      <c r="H348" s="8"/>
      <c r="I348" s="8"/>
      <c r="J348" s="8"/>
    </row>
    <row r="349" hidden="1">
      <c r="A349" s="2" t="s">
        <v>62</v>
      </c>
      <c r="B349" s="2" t="s">
        <v>37</v>
      </c>
      <c r="C349" s="9">
        <v>46156.0</v>
      </c>
      <c r="D349" s="7">
        <v>0.6145833333333334</v>
      </c>
      <c r="E349" s="7">
        <v>0.875</v>
      </c>
      <c r="F349" s="2" t="s">
        <v>280</v>
      </c>
      <c r="G349" s="2">
        <v>22.0</v>
      </c>
      <c r="H349" s="8"/>
      <c r="I349" s="8"/>
      <c r="J349" s="8"/>
    </row>
    <row r="350" hidden="1">
      <c r="A350" s="2" t="s">
        <v>279</v>
      </c>
      <c r="B350" s="2" t="s">
        <v>25</v>
      </c>
      <c r="C350" s="9">
        <v>46156.0</v>
      </c>
      <c r="D350" s="7">
        <v>0.6666666666666666</v>
      </c>
      <c r="E350" s="7">
        <v>0.8958333333333334</v>
      </c>
      <c r="F350" s="2" t="s">
        <v>280</v>
      </c>
      <c r="G350" s="2">
        <v>1.0</v>
      </c>
      <c r="H350" s="8"/>
      <c r="I350" s="8"/>
      <c r="J350" s="8"/>
    </row>
    <row r="351" hidden="1">
      <c r="A351" s="2" t="s">
        <v>41</v>
      </c>
      <c r="B351" s="2" t="s">
        <v>69</v>
      </c>
      <c r="C351" s="9">
        <v>46157.0</v>
      </c>
      <c r="D351" s="7">
        <v>0.5208333333333334</v>
      </c>
      <c r="E351" s="7">
        <v>0.6875</v>
      </c>
      <c r="F351" s="2" t="s">
        <v>280</v>
      </c>
      <c r="G351" s="2">
        <v>12.0</v>
      </c>
      <c r="H351" s="8"/>
      <c r="I351" s="8"/>
      <c r="J351" s="8"/>
    </row>
    <row r="352" hidden="1">
      <c r="A352" s="11" t="s">
        <v>130</v>
      </c>
      <c r="B352" s="11" t="s">
        <v>99</v>
      </c>
      <c r="C352" s="16">
        <v>46157.0</v>
      </c>
      <c r="D352" s="17">
        <v>0.6145833333333334</v>
      </c>
      <c r="E352" s="17">
        <v>0.7291666666666666</v>
      </c>
      <c r="F352" s="11" t="s">
        <v>140</v>
      </c>
      <c r="G352" s="11">
        <v>13.0</v>
      </c>
      <c r="H352" s="8"/>
      <c r="I352" s="8"/>
      <c r="J352" s="8"/>
    </row>
    <row r="353" hidden="1">
      <c r="A353" s="2" t="s">
        <v>272</v>
      </c>
      <c r="B353" s="2" t="s">
        <v>275</v>
      </c>
      <c r="C353" s="9">
        <v>46157.0</v>
      </c>
      <c r="D353" s="7">
        <v>0.6145833333333334</v>
      </c>
      <c r="E353" s="7">
        <v>0.8958333333333334</v>
      </c>
      <c r="F353" s="2" t="s">
        <v>284</v>
      </c>
      <c r="G353" s="2">
        <v>24.0</v>
      </c>
      <c r="H353" s="8"/>
      <c r="I353" s="8"/>
      <c r="J353" s="8"/>
    </row>
    <row r="354" hidden="1">
      <c r="A354" s="2" t="s">
        <v>130</v>
      </c>
      <c r="B354" s="2" t="s">
        <v>96</v>
      </c>
      <c r="C354" s="9">
        <v>46160.0</v>
      </c>
      <c r="D354" s="7">
        <v>0.7708333333333334</v>
      </c>
      <c r="E354" s="7">
        <v>0.8958333333333334</v>
      </c>
      <c r="F354" s="2" t="s">
        <v>140</v>
      </c>
      <c r="G354" s="2">
        <v>17.0</v>
      </c>
      <c r="H354" s="8"/>
      <c r="I354" s="8"/>
      <c r="J354" s="8"/>
    </row>
    <row r="355" hidden="1">
      <c r="A355" s="2" t="s">
        <v>207</v>
      </c>
      <c r="B355" s="2" t="s">
        <v>99</v>
      </c>
      <c r="C355" s="9">
        <v>46157.0</v>
      </c>
      <c r="D355" s="7">
        <v>0.7708333333333334</v>
      </c>
      <c r="E355" s="7">
        <v>0.90625</v>
      </c>
      <c r="F355" s="2" t="s">
        <v>270</v>
      </c>
      <c r="G355" s="2">
        <v>14.0</v>
      </c>
      <c r="H355" s="8"/>
      <c r="I355" s="8"/>
      <c r="J355" s="8"/>
    </row>
    <row r="356" hidden="1">
      <c r="A356" s="2" t="s">
        <v>269</v>
      </c>
      <c r="B356" s="2" t="s">
        <v>172</v>
      </c>
      <c r="C356" s="9">
        <v>46160.0</v>
      </c>
      <c r="D356" s="7">
        <v>0.3125</v>
      </c>
      <c r="E356" s="7">
        <v>0.6041666666666666</v>
      </c>
      <c r="F356" s="2" t="s">
        <v>270</v>
      </c>
      <c r="G356" s="2">
        <v>12.0</v>
      </c>
      <c r="H356" s="8"/>
      <c r="I356" s="8"/>
      <c r="J356" s="8"/>
    </row>
    <row r="357" hidden="1">
      <c r="A357" s="2" t="s">
        <v>41</v>
      </c>
      <c r="B357" s="2" t="s">
        <v>69</v>
      </c>
      <c r="C357" s="9">
        <v>46160.0</v>
      </c>
      <c r="D357" s="7">
        <v>0.5833333333333334</v>
      </c>
      <c r="E357" s="7">
        <v>0.6875</v>
      </c>
      <c r="F357" s="2" t="s">
        <v>280</v>
      </c>
      <c r="G357" s="2">
        <v>23.0</v>
      </c>
      <c r="H357" s="8"/>
      <c r="I357" s="8"/>
      <c r="J357" s="8"/>
    </row>
    <row r="358" hidden="1">
      <c r="A358" s="2" t="s">
        <v>257</v>
      </c>
      <c r="B358" s="2" t="s">
        <v>271</v>
      </c>
      <c r="C358" s="9">
        <v>46160.0</v>
      </c>
      <c r="D358" s="7">
        <v>0.5416666666666666</v>
      </c>
      <c r="E358" s="7">
        <v>0.6875</v>
      </c>
      <c r="F358" s="2" t="s">
        <v>280</v>
      </c>
      <c r="G358" s="2">
        <v>3.0</v>
      </c>
      <c r="H358" s="2">
        <v>3.0</v>
      </c>
      <c r="I358" s="8"/>
      <c r="J358" s="8"/>
    </row>
    <row r="359" hidden="1">
      <c r="A359" s="2" t="s">
        <v>207</v>
      </c>
      <c r="B359" s="2" t="s">
        <v>155</v>
      </c>
      <c r="C359" s="9">
        <v>46161.0</v>
      </c>
      <c r="D359" s="7">
        <v>0.6145833333333334</v>
      </c>
      <c r="E359" s="7">
        <v>0.75</v>
      </c>
      <c r="F359" s="2" t="s">
        <v>285</v>
      </c>
      <c r="G359" s="2">
        <v>12.0</v>
      </c>
      <c r="H359" s="8"/>
      <c r="I359" s="8"/>
      <c r="J359" s="8"/>
    </row>
    <row r="360" hidden="1">
      <c r="A360" s="2" t="s">
        <v>41</v>
      </c>
      <c r="B360" s="2" t="s">
        <v>69</v>
      </c>
      <c r="C360" s="9">
        <v>46161.0</v>
      </c>
      <c r="D360" s="7">
        <v>0.5208333333333334</v>
      </c>
      <c r="E360" s="7">
        <v>0.6875</v>
      </c>
      <c r="F360" s="2" t="s">
        <v>285</v>
      </c>
      <c r="G360" s="2">
        <v>12.0</v>
      </c>
      <c r="H360" s="8"/>
      <c r="I360" s="8"/>
      <c r="J360" s="8"/>
    </row>
    <row r="361" hidden="1">
      <c r="A361" s="2" t="s">
        <v>286</v>
      </c>
      <c r="B361" s="2" t="s">
        <v>287</v>
      </c>
      <c r="C361" s="9">
        <v>46163.0</v>
      </c>
      <c r="D361" s="7">
        <v>0.6145833333333334</v>
      </c>
      <c r="E361" s="7">
        <v>0.8993055555555556</v>
      </c>
      <c r="F361" s="2" t="s">
        <v>288</v>
      </c>
      <c r="G361" s="2">
        <v>25.0</v>
      </c>
      <c r="H361" s="8"/>
      <c r="I361" s="8"/>
      <c r="J361" s="8"/>
    </row>
    <row r="362" hidden="1">
      <c r="A362" s="2" t="s">
        <v>41</v>
      </c>
      <c r="B362" s="2" t="s">
        <v>69</v>
      </c>
      <c r="C362" s="9">
        <v>46161.0</v>
      </c>
      <c r="D362" s="7">
        <v>0.5208333333333334</v>
      </c>
      <c r="E362" s="7">
        <v>0.6875</v>
      </c>
      <c r="F362" s="2" t="s">
        <v>285</v>
      </c>
      <c r="G362" s="2">
        <v>12.0</v>
      </c>
      <c r="H362" s="8"/>
      <c r="I362" s="8"/>
      <c r="J362" s="8"/>
    </row>
    <row r="363" hidden="1">
      <c r="A363" s="2" t="s">
        <v>289</v>
      </c>
      <c r="B363" s="2" t="s">
        <v>290</v>
      </c>
      <c r="C363" s="9">
        <v>46162.0</v>
      </c>
      <c r="D363" s="7">
        <v>0.5833333333333334</v>
      </c>
      <c r="E363" s="7">
        <v>0.6840277777777778</v>
      </c>
      <c r="F363" s="2" t="s">
        <v>270</v>
      </c>
      <c r="G363" s="2">
        <v>1.0</v>
      </c>
      <c r="H363" s="2">
        <v>1.0</v>
      </c>
      <c r="I363" s="8"/>
      <c r="J363" s="8"/>
    </row>
    <row r="364" hidden="1">
      <c r="A364" s="2" t="s">
        <v>57</v>
      </c>
      <c r="B364" s="2" t="s">
        <v>96</v>
      </c>
      <c r="C364" s="9">
        <v>46163.0</v>
      </c>
      <c r="D364" s="7">
        <v>0.6145833333333334</v>
      </c>
      <c r="E364" s="7">
        <v>0.875</v>
      </c>
      <c r="F364" s="2" t="s">
        <v>270</v>
      </c>
      <c r="G364" s="2">
        <v>17.0</v>
      </c>
      <c r="H364" s="8"/>
      <c r="I364" s="8"/>
      <c r="J364" s="8"/>
    </row>
    <row r="365" hidden="1">
      <c r="A365" s="2" t="s">
        <v>62</v>
      </c>
      <c r="B365" s="2" t="s">
        <v>37</v>
      </c>
      <c r="C365" s="9">
        <v>46163.0</v>
      </c>
      <c r="D365" s="7">
        <v>0.6145833333333334</v>
      </c>
      <c r="E365" s="7">
        <v>0.875</v>
      </c>
      <c r="F365" s="2" t="s">
        <v>285</v>
      </c>
      <c r="G365" s="2">
        <v>12.0</v>
      </c>
      <c r="H365" s="8"/>
      <c r="I365" s="8"/>
      <c r="J365" s="8"/>
    </row>
    <row r="366" hidden="1">
      <c r="A366" s="2" t="s">
        <v>291</v>
      </c>
      <c r="B366" s="2" t="s">
        <v>172</v>
      </c>
      <c r="C366" s="9">
        <v>46167.0</v>
      </c>
      <c r="D366" s="7">
        <v>0.3125</v>
      </c>
      <c r="E366" s="7">
        <v>0.6041666666666666</v>
      </c>
      <c r="F366" s="2" t="s">
        <v>270</v>
      </c>
      <c r="G366" s="2">
        <v>20.0</v>
      </c>
      <c r="H366" s="8"/>
      <c r="I366" s="8"/>
      <c r="J366" s="8"/>
    </row>
    <row r="367" hidden="1">
      <c r="A367" s="2" t="s">
        <v>272</v>
      </c>
      <c r="B367" s="2" t="s">
        <v>255</v>
      </c>
      <c r="C367" s="9">
        <v>46164.0</v>
      </c>
      <c r="D367" s="7">
        <v>0.6145833333333334</v>
      </c>
      <c r="E367" s="7">
        <v>0.8958333333333334</v>
      </c>
      <c r="F367" s="2" t="s">
        <v>292</v>
      </c>
      <c r="G367" s="2">
        <v>24.0</v>
      </c>
      <c r="H367" s="8"/>
      <c r="I367" s="8"/>
      <c r="J367" s="8"/>
    </row>
    <row r="368" hidden="1">
      <c r="A368" s="2" t="s">
        <v>21</v>
      </c>
      <c r="B368" s="2" t="s">
        <v>147</v>
      </c>
      <c r="C368" s="15">
        <v>46164.0</v>
      </c>
      <c r="D368" s="7">
        <v>0.65625</v>
      </c>
      <c r="E368" s="7">
        <v>0.7291666666666666</v>
      </c>
      <c r="F368" s="2" t="s">
        <v>293</v>
      </c>
      <c r="G368" s="2">
        <v>6.0</v>
      </c>
      <c r="H368" s="8"/>
      <c r="I368" s="8"/>
      <c r="J368" s="8"/>
    </row>
    <row r="369" hidden="1">
      <c r="A369" s="2" t="s">
        <v>130</v>
      </c>
      <c r="B369" s="2" t="s">
        <v>99</v>
      </c>
      <c r="C369" s="9">
        <v>46164.0</v>
      </c>
      <c r="D369" s="7">
        <v>0.6180555555555556</v>
      </c>
      <c r="E369" s="7">
        <v>0.7291666666666666</v>
      </c>
      <c r="F369" s="2" t="s">
        <v>140</v>
      </c>
      <c r="G369" s="2">
        <v>11.0</v>
      </c>
      <c r="H369" s="8"/>
      <c r="I369" s="8"/>
      <c r="J369" s="8"/>
    </row>
    <row r="370" hidden="1">
      <c r="A370" s="2" t="s">
        <v>289</v>
      </c>
      <c r="B370" s="2" t="s">
        <v>290</v>
      </c>
      <c r="C370" s="9">
        <v>46164.0</v>
      </c>
      <c r="D370" s="7">
        <v>0.6215277777777778</v>
      </c>
      <c r="E370" s="7">
        <v>0.8125</v>
      </c>
      <c r="F370" s="2" t="s">
        <v>270</v>
      </c>
      <c r="G370" s="2">
        <v>1.0</v>
      </c>
      <c r="H370" s="2">
        <v>1.0</v>
      </c>
      <c r="I370" s="8"/>
      <c r="J370" s="8"/>
    </row>
    <row r="371" hidden="1">
      <c r="A371" s="2" t="s">
        <v>294</v>
      </c>
      <c r="B371" s="2" t="s">
        <v>69</v>
      </c>
      <c r="C371" s="9">
        <v>46167.0</v>
      </c>
      <c r="D371" s="7">
        <v>0.5208333333333334</v>
      </c>
      <c r="E371" s="7">
        <v>0.6875</v>
      </c>
      <c r="F371" s="2" t="s">
        <v>270</v>
      </c>
      <c r="G371" s="2">
        <v>22.0</v>
      </c>
      <c r="H371" s="8"/>
      <c r="I371" s="8"/>
      <c r="J371" s="8"/>
    </row>
    <row r="372" hidden="1">
      <c r="A372" s="2" t="s">
        <v>21</v>
      </c>
      <c r="B372" s="2" t="s">
        <v>117</v>
      </c>
      <c r="C372" s="9">
        <v>46167.0</v>
      </c>
      <c r="D372" s="7">
        <v>0.5625</v>
      </c>
      <c r="E372" s="7">
        <v>0.6875</v>
      </c>
      <c r="F372" s="2" t="s">
        <v>295</v>
      </c>
      <c r="G372" s="2">
        <v>7.0</v>
      </c>
      <c r="H372" s="8"/>
      <c r="I372" s="8"/>
      <c r="J372" s="8"/>
    </row>
    <row r="373" hidden="1">
      <c r="A373" s="2" t="s">
        <v>272</v>
      </c>
      <c r="B373" s="2" t="s">
        <v>75</v>
      </c>
      <c r="C373" s="9">
        <v>46167.0</v>
      </c>
      <c r="D373" s="7">
        <v>0.6145833333333334</v>
      </c>
      <c r="E373" s="7">
        <v>0.875</v>
      </c>
      <c r="F373" s="8"/>
      <c r="G373" s="2">
        <v>12.0</v>
      </c>
      <c r="H373" s="8"/>
      <c r="I373" s="8"/>
      <c r="J373" s="8"/>
    </row>
    <row r="374" hidden="1">
      <c r="A374" s="2" t="s">
        <v>289</v>
      </c>
      <c r="B374" s="2" t="s">
        <v>290</v>
      </c>
      <c r="C374" s="9">
        <v>46167.0</v>
      </c>
      <c r="D374" s="7">
        <v>0.6180555555555556</v>
      </c>
      <c r="E374" s="7">
        <v>0.6666666666666666</v>
      </c>
      <c r="F374" s="2" t="s">
        <v>270</v>
      </c>
      <c r="G374" s="2">
        <v>1.0</v>
      </c>
      <c r="H374" s="2">
        <v>1.0</v>
      </c>
      <c r="I374" s="8"/>
      <c r="J374" s="8"/>
    </row>
    <row r="375" hidden="1">
      <c r="A375" s="2" t="s">
        <v>279</v>
      </c>
      <c r="B375" s="2" t="s">
        <v>25</v>
      </c>
      <c r="C375" s="9">
        <v>46167.0</v>
      </c>
      <c r="D375" s="7">
        <v>0.7708333333333334</v>
      </c>
      <c r="E375" s="7">
        <v>0.8958333333333334</v>
      </c>
      <c r="F375" s="2" t="s">
        <v>270</v>
      </c>
      <c r="G375" s="2">
        <v>1.0</v>
      </c>
      <c r="H375" s="2">
        <v>1.0</v>
      </c>
      <c r="I375" s="8"/>
      <c r="J375" s="8"/>
    </row>
    <row r="376" hidden="1">
      <c r="A376" s="2" t="s">
        <v>41</v>
      </c>
      <c r="B376" s="2" t="s">
        <v>69</v>
      </c>
      <c r="C376" s="9">
        <v>46168.0</v>
      </c>
      <c r="D376" s="7">
        <v>0.6111111111111112</v>
      </c>
      <c r="E376" s="7">
        <v>0.6875</v>
      </c>
      <c r="F376" s="2" t="s">
        <v>285</v>
      </c>
      <c r="G376" s="2">
        <v>12.0</v>
      </c>
      <c r="H376" s="8"/>
      <c r="I376" s="8"/>
      <c r="J376" s="8"/>
    </row>
    <row r="377" hidden="1">
      <c r="A377" s="2" t="s">
        <v>122</v>
      </c>
      <c r="B377" s="2" t="s">
        <v>92</v>
      </c>
      <c r="C377" s="9">
        <v>46168.0</v>
      </c>
      <c r="D377" s="7">
        <v>0.5277777777777778</v>
      </c>
      <c r="E377" s="7">
        <v>0.5972222222222222</v>
      </c>
      <c r="F377" s="2" t="s">
        <v>285</v>
      </c>
      <c r="G377" s="2">
        <v>1.0</v>
      </c>
      <c r="H377" s="8"/>
      <c r="I377" s="8"/>
      <c r="J377" s="8"/>
    </row>
    <row r="378" hidden="1">
      <c r="A378" s="2" t="s">
        <v>59</v>
      </c>
      <c r="B378" s="2" t="s">
        <v>296</v>
      </c>
      <c r="C378" s="9">
        <v>46168.0</v>
      </c>
      <c r="D378" s="7">
        <v>0.625</v>
      </c>
      <c r="E378" s="7">
        <v>0.90625</v>
      </c>
      <c r="F378" s="2" t="s">
        <v>297</v>
      </c>
      <c r="G378" s="2">
        <v>12.0</v>
      </c>
      <c r="H378" s="8"/>
      <c r="I378" s="8"/>
      <c r="J378" s="8"/>
    </row>
    <row r="379" hidden="1">
      <c r="A379" s="2" t="s">
        <v>122</v>
      </c>
      <c r="B379" s="2" t="s">
        <v>275</v>
      </c>
      <c r="C379" s="9">
        <v>46169.0</v>
      </c>
      <c r="D379" s="7">
        <v>0.6145833333333334</v>
      </c>
      <c r="E379" s="7">
        <v>0.71875</v>
      </c>
      <c r="F379" s="2" t="s">
        <v>259</v>
      </c>
      <c r="G379" s="2">
        <v>12.0</v>
      </c>
      <c r="H379" s="8"/>
      <c r="I379" s="8"/>
      <c r="J379" s="8"/>
    </row>
    <row r="380" hidden="1">
      <c r="A380" s="2" t="s">
        <v>41</v>
      </c>
      <c r="B380" s="2" t="s">
        <v>69</v>
      </c>
      <c r="C380" s="9">
        <v>46157.0</v>
      </c>
      <c r="D380" s="7">
        <v>0.5208333333333334</v>
      </c>
      <c r="E380" s="7">
        <v>0.6875</v>
      </c>
      <c r="F380" s="2" t="s">
        <v>280</v>
      </c>
      <c r="G380" s="2">
        <v>12.0</v>
      </c>
      <c r="H380" s="8"/>
      <c r="I380" s="8"/>
      <c r="J380" s="8"/>
    </row>
    <row r="381" hidden="1">
      <c r="A381" s="2" t="s">
        <v>269</v>
      </c>
      <c r="B381" s="2" t="s">
        <v>172</v>
      </c>
      <c r="C381" s="9">
        <v>46170.0</v>
      </c>
      <c r="D381" s="7">
        <v>0.3125</v>
      </c>
      <c r="E381" s="7">
        <v>0.6041666666666666</v>
      </c>
      <c r="F381" s="2" t="s">
        <v>280</v>
      </c>
      <c r="G381" s="2">
        <v>15.0</v>
      </c>
      <c r="H381" s="8"/>
      <c r="I381" s="8"/>
      <c r="J381" s="8"/>
    </row>
    <row r="382" hidden="1">
      <c r="A382" s="2" t="s">
        <v>130</v>
      </c>
      <c r="B382" s="2" t="s">
        <v>77</v>
      </c>
      <c r="C382" s="9">
        <v>46170.0</v>
      </c>
      <c r="D382" s="7">
        <v>0.6145833333333334</v>
      </c>
      <c r="E382" s="7">
        <v>0.90625</v>
      </c>
      <c r="F382" s="2" t="s">
        <v>140</v>
      </c>
      <c r="G382" s="2">
        <v>19.0</v>
      </c>
      <c r="H382" s="8"/>
      <c r="I382" s="8"/>
      <c r="J382" s="8"/>
    </row>
    <row r="383" hidden="1">
      <c r="A383" s="2" t="s">
        <v>62</v>
      </c>
      <c r="B383" s="2" t="s">
        <v>37</v>
      </c>
      <c r="C383" s="9">
        <v>46170.0</v>
      </c>
      <c r="D383" s="7">
        <v>0.7569444444444444</v>
      </c>
      <c r="E383" s="7">
        <v>0.875</v>
      </c>
      <c r="F383" s="2" t="s">
        <v>259</v>
      </c>
      <c r="G383" s="2">
        <v>2.0</v>
      </c>
      <c r="H383" s="8"/>
      <c r="I383" s="8"/>
      <c r="J383" s="8"/>
    </row>
    <row r="384" hidden="1">
      <c r="A384" s="2" t="s">
        <v>41</v>
      </c>
      <c r="B384" s="2" t="s">
        <v>69</v>
      </c>
      <c r="C384" s="9">
        <v>46171.0</v>
      </c>
      <c r="D384" s="7">
        <v>0.5208333333333334</v>
      </c>
      <c r="E384" s="7">
        <v>0.6875</v>
      </c>
      <c r="F384" s="2" t="s">
        <v>298</v>
      </c>
      <c r="G384" s="2">
        <v>22.0</v>
      </c>
      <c r="H384" s="8"/>
      <c r="I384" s="8"/>
      <c r="J384" s="8"/>
    </row>
    <row r="385" hidden="1">
      <c r="A385" s="2" t="s">
        <v>272</v>
      </c>
      <c r="B385" s="2" t="s">
        <v>275</v>
      </c>
      <c r="C385" s="9">
        <v>46171.0</v>
      </c>
      <c r="D385" s="7">
        <v>0.75</v>
      </c>
      <c r="E385" s="7">
        <v>0.8958333333333334</v>
      </c>
      <c r="F385" s="2" t="s">
        <v>259</v>
      </c>
      <c r="G385" s="2">
        <v>24.0</v>
      </c>
      <c r="H385" s="8"/>
      <c r="I385" s="8"/>
      <c r="J385" s="8"/>
    </row>
    <row r="386" hidden="1">
      <c r="A386" s="2" t="s">
        <v>130</v>
      </c>
      <c r="B386" s="2" t="s">
        <v>99</v>
      </c>
      <c r="C386" s="9">
        <v>46171.0</v>
      </c>
      <c r="D386" s="7">
        <v>0.6145833333333334</v>
      </c>
      <c r="E386" s="7">
        <v>0.7291666666666666</v>
      </c>
      <c r="F386" s="2" t="s">
        <v>140</v>
      </c>
      <c r="G386" s="2">
        <v>11.0</v>
      </c>
      <c r="H386" s="8"/>
      <c r="I386" s="8"/>
      <c r="J386" s="8"/>
    </row>
    <row r="387" hidden="1">
      <c r="A387" s="2" t="s">
        <v>62</v>
      </c>
      <c r="B387" s="2" t="s">
        <v>205</v>
      </c>
      <c r="C387" s="6">
        <v>46174.0</v>
      </c>
      <c r="D387" s="7">
        <v>0.6145833333333334</v>
      </c>
      <c r="E387" s="7">
        <v>0.8958333333333334</v>
      </c>
      <c r="F387" s="2" t="s">
        <v>259</v>
      </c>
      <c r="G387" s="2">
        <v>12.0</v>
      </c>
      <c r="H387" s="2">
        <v>12.0</v>
      </c>
      <c r="I387" s="8"/>
      <c r="J387" s="8"/>
    </row>
    <row r="388" hidden="1">
      <c r="A388" s="2" t="s">
        <v>126</v>
      </c>
      <c r="B388" s="2" t="s">
        <v>28</v>
      </c>
      <c r="C388" s="6">
        <v>46174.0</v>
      </c>
      <c r="D388" s="7">
        <v>0.6145833333333334</v>
      </c>
      <c r="E388" s="7">
        <v>0.7048611111111112</v>
      </c>
      <c r="F388" s="2" t="s">
        <v>259</v>
      </c>
      <c r="G388" s="2">
        <v>7.0</v>
      </c>
      <c r="H388" s="2">
        <v>7.0</v>
      </c>
      <c r="I388" s="2">
        <v>7.0</v>
      </c>
      <c r="J388" s="8"/>
    </row>
    <row r="389" hidden="1">
      <c r="A389" s="2" t="s">
        <v>21</v>
      </c>
      <c r="B389" s="2" t="s">
        <v>117</v>
      </c>
      <c r="C389" s="6">
        <v>46174.0</v>
      </c>
      <c r="D389" s="7">
        <v>0.4166666666666667</v>
      </c>
      <c r="E389" s="7">
        <v>0.5416666666666666</v>
      </c>
      <c r="F389" s="2" t="s">
        <v>295</v>
      </c>
      <c r="G389" s="2">
        <v>3.0</v>
      </c>
      <c r="H389" s="2">
        <v>3.0</v>
      </c>
      <c r="I389" s="2">
        <v>3.0</v>
      </c>
      <c r="J389" s="8"/>
    </row>
    <row r="390" hidden="1">
      <c r="A390" s="2" t="s">
        <v>207</v>
      </c>
      <c r="B390" s="2" t="s">
        <v>37</v>
      </c>
      <c r="C390" s="6">
        <v>46174.0</v>
      </c>
      <c r="D390" s="7">
        <v>0.6145833333333334</v>
      </c>
      <c r="E390" s="7">
        <v>0.90625</v>
      </c>
      <c r="F390" s="2" t="s">
        <v>250</v>
      </c>
      <c r="G390" s="2">
        <v>12.0</v>
      </c>
      <c r="H390" s="8"/>
      <c r="I390" s="8"/>
      <c r="J390" s="8"/>
    </row>
    <row r="391" hidden="1">
      <c r="A391" s="2" t="s">
        <v>279</v>
      </c>
      <c r="B391" s="2" t="s">
        <v>77</v>
      </c>
      <c r="C391" s="6">
        <v>46175.0</v>
      </c>
      <c r="D391" s="7">
        <v>0.6145833333333334</v>
      </c>
      <c r="E391" s="7">
        <v>0.8958333333333334</v>
      </c>
      <c r="F391" s="2" t="s">
        <v>299</v>
      </c>
      <c r="G391" s="2">
        <v>4.0</v>
      </c>
      <c r="H391" s="8"/>
      <c r="I391" s="8"/>
      <c r="J391" s="8"/>
    </row>
    <row r="392" hidden="1">
      <c r="A392" s="2" t="s">
        <v>16</v>
      </c>
      <c r="B392" s="2" t="s">
        <v>17</v>
      </c>
      <c r="C392" s="6">
        <v>46175.0</v>
      </c>
      <c r="D392" s="7">
        <v>0.3541666666666667</v>
      </c>
      <c r="E392" s="7">
        <v>0.6041666666666666</v>
      </c>
      <c r="F392" s="2" t="s">
        <v>300</v>
      </c>
      <c r="G392" s="2">
        <v>10.0</v>
      </c>
      <c r="H392" s="2">
        <v>10.0</v>
      </c>
      <c r="I392" s="2">
        <v>10.0</v>
      </c>
      <c r="J392" s="8"/>
    </row>
    <row r="393" hidden="1">
      <c r="A393" s="2" t="s">
        <v>41</v>
      </c>
      <c r="B393" s="2" t="s">
        <v>69</v>
      </c>
      <c r="C393" s="6">
        <v>46175.0</v>
      </c>
      <c r="D393" s="7">
        <v>0.5208333333333334</v>
      </c>
      <c r="E393" s="7">
        <v>0.6875</v>
      </c>
      <c r="F393" s="2" t="s">
        <v>250</v>
      </c>
      <c r="G393" s="2">
        <v>22.0</v>
      </c>
      <c r="H393" s="2">
        <v>22.0</v>
      </c>
      <c r="I393" s="8"/>
      <c r="J393" s="8"/>
    </row>
    <row r="394" hidden="1">
      <c r="A394" s="2" t="s">
        <v>130</v>
      </c>
      <c r="B394" s="2" t="s">
        <v>141</v>
      </c>
      <c r="C394" s="6">
        <v>46175.0</v>
      </c>
      <c r="D394" s="7">
        <v>0.6145833333333334</v>
      </c>
      <c r="E394" s="7">
        <v>0.90625</v>
      </c>
      <c r="F394" s="2" t="s">
        <v>140</v>
      </c>
      <c r="G394" s="2">
        <v>18.0</v>
      </c>
      <c r="H394" s="8"/>
      <c r="I394" s="8"/>
      <c r="J394" s="8"/>
    </row>
    <row r="395" hidden="1">
      <c r="A395" s="2" t="s">
        <v>122</v>
      </c>
      <c r="B395" s="2" t="s">
        <v>301</v>
      </c>
      <c r="C395" s="6">
        <v>46175.0</v>
      </c>
      <c r="D395" s="7">
        <v>0.5486111111111112</v>
      </c>
      <c r="E395" s="7">
        <v>0.6875</v>
      </c>
      <c r="F395" s="2" t="s">
        <v>140</v>
      </c>
      <c r="G395" s="2">
        <v>1.0</v>
      </c>
      <c r="H395" s="2">
        <v>1.0</v>
      </c>
      <c r="I395" s="8"/>
      <c r="J395" s="8"/>
    </row>
    <row r="396" hidden="1">
      <c r="A396" s="2" t="s">
        <v>302</v>
      </c>
      <c r="B396" s="2" t="s">
        <v>255</v>
      </c>
      <c r="C396" s="6">
        <v>46175.0</v>
      </c>
      <c r="D396" s="7">
        <v>0.6145833333333334</v>
      </c>
      <c r="E396" s="7">
        <v>0.90625</v>
      </c>
      <c r="F396" s="2" t="s">
        <v>303</v>
      </c>
      <c r="G396" s="2">
        <v>12.0</v>
      </c>
      <c r="H396" s="8"/>
      <c r="I396" s="8"/>
      <c r="J396" s="8"/>
    </row>
    <row r="397" hidden="1">
      <c r="A397" s="2" t="s">
        <v>224</v>
      </c>
      <c r="B397" s="2" t="s">
        <v>271</v>
      </c>
      <c r="C397" s="6">
        <v>46176.0</v>
      </c>
      <c r="D397" s="2" t="s">
        <v>304</v>
      </c>
      <c r="E397" s="7">
        <v>0.6875</v>
      </c>
      <c r="F397" s="2" t="s">
        <v>305</v>
      </c>
      <c r="G397" s="2">
        <v>1.0</v>
      </c>
      <c r="H397" s="2">
        <v>1.0</v>
      </c>
      <c r="I397" s="8"/>
      <c r="J397" s="8"/>
    </row>
    <row r="398" hidden="1">
      <c r="A398" s="2" t="s">
        <v>306</v>
      </c>
      <c r="B398" s="8"/>
      <c r="C398" s="6">
        <v>46176.0</v>
      </c>
      <c r="D398" s="7">
        <v>0.75</v>
      </c>
      <c r="E398" s="7">
        <v>0.8958333333333334</v>
      </c>
      <c r="F398" s="8"/>
      <c r="G398" s="2">
        <v>12.0</v>
      </c>
      <c r="H398" s="8"/>
      <c r="I398" s="8"/>
      <c r="J398" s="8"/>
    </row>
    <row r="399" hidden="1">
      <c r="A399" s="2" t="s">
        <v>41</v>
      </c>
      <c r="B399" s="2" t="s">
        <v>69</v>
      </c>
      <c r="C399" s="6">
        <v>46176.0</v>
      </c>
      <c r="D399" s="7">
        <v>0.5208333333333334</v>
      </c>
      <c r="E399" s="7">
        <v>0.6875</v>
      </c>
      <c r="F399" s="2" t="s">
        <v>250</v>
      </c>
      <c r="G399" s="2">
        <v>22.0</v>
      </c>
      <c r="H399" s="2">
        <v>22.0</v>
      </c>
      <c r="I399" s="8"/>
      <c r="J399" s="8"/>
    </row>
    <row r="400" hidden="1">
      <c r="A400" s="2" t="s">
        <v>272</v>
      </c>
      <c r="B400" s="2" t="s">
        <v>307</v>
      </c>
      <c r="C400" s="6">
        <v>46176.0</v>
      </c>
      <c r="D400" s="7">
        <v>0.6145833333333334</v>
      </c>
      <c r="E400" s="7">
        <v>0.875</v>
      </c>
      <c r="F400" s="2" t="s">
        <v>308</v>
      </c>
      <c r="G400" s="2">
        <v>1.0</v>
      </c>
      <c r="H400" s="8"/>
      <c r="I400" s="8"/>
      <c r="J400" s="8"/>
    </row>
    <row r="401" hidden="1">
      <c r="A401" s="2" t="s">
        <v>130</v>
      </c>
      <c r="B401" s="2" t="s">
        <v>309</v>
      </c>
      <c r="C401" s="6">
        <v>46176.0</v>
      </c>
      <c r="D401" s="7">
        <v>0.6145833333333334</v>
      </c>
      <c r="E401" s="7">
        <v>0.90625</v>
      </c>
      <c r="F401" s="2" t="s">
        <v>140</v>
      </c>
      <c r="G401" s="2">
        <v>13.0</v>
      </c>
      <c r="H401" s="8"/>
      <c r="I401" s="8"/>
      <c r="J401" s="8"/>
    </row>
    <row r="402" hidden="1">
      <c r="A402" s="2" t="s">
        <v>310</v>
      </c>
      <c r="B402" s="2" t="s">
        <v>134</v>
      </c>
      <c r="C402" s="6">
        <v>46181.0</v>
      </c>
      <c r="D402" s="7">
        <v>0.3125</v>
      </c>
      <c r="E402" s="7">
        <v>0.6041666666666666</v>
      </c>
      <c r="F402" s="2" t="s">
        <v>44</v>
      </c>
      <c r="G402" s="2">
        <v>24.0</v>
      </c>
      <c r="H402" s="2">
        <v>24.0</v>
      </c>
      <c r="I402" s="2">
        <v>24.0</v>
      </c>
      <c r="J402" s="8"/>
    </row>
    <row r="403" hidden="1">
      <c r="A403" s="2" t="s">
        <v>41</v>
      </c>
      <c r="B403" s="2" t="s">
        <v>69</v>
      </c>
      <c r="C403" s="6">
        <v>46181.0</v>
      </c>
      <c r="D403" s="7">
        <v>0.4305555555555556</v>
      </c>
      <c r="E403" s="7">
        <v>0.46875</v>
      </c>
      <c r="F403" s="2" t="s">
        <v>250</v>
      </c>
      <c r="G403" s="2">
        <v>2.0</v>
      </c>
      <c r="H403" s="2">
        <v>2.0</v>
      </c>
      <c r="I403" s="2">
        <v>2.0</v>
      </c>
      <c r="J403" s="8"/>
    </row>
    <row r="404" hidden="1">
      <c r="A404" s="2" t="s">
        <v>145</v>
      </c>
      <c r="B404" s="2" t="s">
        <v>235</v>
      </c>
      <c r="C404" s="6">
        <v>46181.0</v>
      </c>
      <c r="D404" s="7">
        <v>0.5208333333333334</v>
      </c>
      <c r="E404" s="7">
        <v>0.6041666666666666</v>
      </c>
      <c r="F404" s="2" t="s">
        <v>311</v>
      </c>
      <c r="G404" s="2">
        <v>12.0</v>
      </c>
      <c r="H404" s="2">
        <v>12.0</v>
      </c>
      <c r="I404" s="2">
        <v>12.0</v>
      </c>
      <c r="J404" s="8"/>
    </row>
    <row r="405" hidden="1">
      <c r="A405" s="2" t="s">
        <v>312</v>
      </c>
      <c r="B405" s="2" t="s">
        <v>99</v>
      </c>
      <c r="C405" s="9">
        <v>46181.0</v>
      </c>
      <c r="D405" s="7">
        <v>0.6145833333333334</v>
      </c>
      <c r="E405" s="7">
        <v>0.875</v>
      </c>
      <c r="F405" s="2" t="s">
        <v>313</v>
      </c>
      <c r="G405" s="2">
        <v>25.0</v>
      </c>
      <c r="H405" s="2">
        <v>25.0</v>
      </c>
      <c r="I405" s="8"/>
      <c r="J405" s="8"/>
    </row>
    <row r="406" hidden="1">
      <c r="A406" s="2" t="s">
        <v>207</v>
      </c>
      <c r="B406" s="2" t="s">
        <v>155</v>
      </c>
      <c r="C406" s="6">
        <v>46181.0</v>
      </c>
      <c r="D406" s="7">
        <v>0.6145833333333334</v>
      </c>
      <c r="E406" s="7">
        <v>0.6145833333333334</v>
      </c>
      <c r="F406" s="2" t="s">
        <v>250</v>
      </c>
      <c r="G406" s="2">
        <v>8.0</v>
      </c>
      <c r="H406" s="8"/>
      <c r="I406" s="8"/>
      <c r="J406" s="8"/>
    </row>
    <row r="407" hidden="1">
      <c r="A407" s="2" t="s">
        <v>272</v>
      </c>
      <c r="B407" s="2" t="s">
        <v>255</v>
      </c>
      <c r="C407" s="6">
        <v>46181.0</v>
      </c>
      <c r="D407" s="7">
        <v>0.6145833333333334</v>
      </c>
      <c r="E407" s="7">
        <v>0.7222222222222222</v>
      </c>
      <c r="F407" s="2" t="s">
        <v>314</v>
      </c>
      <c r="G407" s="2">
        <v>1.0</v>
      </c>
      <c r="H407" s="8"/>
      <c r="I407" s="8"/>
      <c r="J407" s="8"/>
    </row>
    <row r="408" hidden="1">
      <c r="A408" s="2" t="s">
        <v>122</v>
      </c>
      <c r="B408" s="2" t="s">
        <v>315</v>
      </c>
      <c r="C408" s="6">
        <v>46182.0</v>
      </c>
      <c r="D408" s="7">
        <v>0.3173611111111111</v>
      </c>
      <c r="E408" s="7">
        <v>0.6875</v>
      </c>
      <c r="F408" s="2" t="s">
        <v>316</v>
      </c>
      <c r="G408" s="2">
        <v>2.0</v>
      </c>
      <c r="H408" s="2"/>
      <c r="I408" s="8"/>
      <c r="J408" s="8"/>
    </row>
    <row r="409" hidden="1">
      <c r="A409" s="2" t="s">
        <v>41</v>
      </c>
      <c r="B409" s="2" t="s">
        <v>69</v>
      </c>
      <c r="C409" s="6">
        <v>46182.0</v>
      </c>
      <c r="D409" s="7">
        <v>0.5208333333333334</v>
      </c>
      <c r="E409" s="7">
        <v>0.6875</v>
      </c>
      <c r="F409" s="2" t="s">
        <v>113</v>
      </c>
      <c r="G409" s="2">
        <v>22.0</v>
      </c>
      <c r="H409" s="2"/>
      <c r="I409" s="8"/>
      <c r="J409" s="8"/>
    </row>
    <row r="410" hidden="1">
      <c r="A410" s="2" t="s">
        <v>59</v>
      </c>
      <c r="B410" s="2" t="s">
        <v>255</v>
      </c>
      <c r="C410" s="6">
        <v>46182.0</v>
      </c>
      <c r="D410" s="7">
        <v>0.6145833333333334</v>
      </c>
      <c r="E410" s="7">
        <v>0.90625</v>
      </c>
      <c r="F410" s="2" t="s">
        <v>317</v>
      </c>
      <c r="G410" s="2">
        <v>24.0</v>
      </c>
      <c r="H410" s="2"/>
      <c r="I410" s="8"/>
      <c r="J410" s="8"/>
    </row>
    <row r="411" hidden="1">
      <c r="A411" s="2" t="s">
        <v>62</v>
      </c>
      <c r="B411" s="2" t="s">
        <v>37</v>
      </c>
      <c r="C411" s="6">
        <v>46182.0</v>
      </c>
      <c r="D411" s="7">
        <v>0.75</v>
      </c>
      <c r="E411" s="7">
        <v>0.8958333333333334</v>
      </c>
      <c r="F411" s="2" t="s">
        <v>113</v>
      </c>
      <c r="G411" s="2">
        <v>12.0</v>
      </c>
      <c r="H411" s="2">
        <v>12.0</v>
      </c>
      <c r="I411" s="8"/>
      <c r="J411" s="8"/>
    </row>
    <row r="412" hidden="1">
      <c r="A412" s="2" t="s">
        <v>306</v>
      </c>
      <c r="B412" s="8"/>
      <c r="C412" s="6">
        <v>46183.0</v>
      </c>
      <c r="D412" s="7">
        <v>0.75</v>
      </c>
      <c r="E412" s="7">
        <v>0.8958333333333334</v>
      </c>
      <c r="F412" s="2" t="s">
        <v>318</v>
      </c>
      <c r="G412" s="2">
        <v>12.0</v>
      </c>
      <c r="H412" s="8"/>
      <c r="I412" s="8"/>
      <c r="J412" s="8"/>
    </row>
    <row r="413" hidden="1">
      <c r="A413" s="2" t="s">
        <v>41</v>
      </c>
      <c r="B413" s="2" t="s">
        <v>69</v>
      </c>
      <c r="C413" s="6">
        <v>45453.0</v>
      </c>
      <c r="D413" s="7">
        <v>0.5625</v>
      </c>
      <c r="E413" s="7">
        <v>0.6875</v>
      </c>
      <c r="F413" s="2" t="s">
        <v>113</v>
      </c>
      <c r="G413" s="2">
        <v>15.0</v>
      </c>
      <c r="H413" s="8"/>
      <c r="I413" s="8"/>
      <c r="J413" s="8"/>
    </row>
    <row r="414" hidden="1">
      <c r="A414" s="2" t="s">
        <v>122</v>
      </c>
      <c r="B414" s="2" t="s">
        <v>315</v>
      </c>
      <c r="C414" s="6">
        <v>46184.0</v>
      </c>
      <c r="D414" s="7">
        <v>0.3125</v>
      </c>
      <c r="E414" s="7">
        <v>0.6875</v>
      </c>
      <c r="F414" s="2" t="s">
        <v>113</v>
      </c>
      <c r="G414" s="2">
        <v>2.0</v>
      </c>
      <c r="H414" s="8"/>
      <c r="I414" s="8"/>
      <c r="J414" s="8"/>
    </row>
    <row r="415" hidden="1">
      <c r="A415" s="2" t="s">
        <v>41</v>
      </c>
      <c r="B415" s="2" t="s">
        <v>172</v>
      </c>
      <c r="C415" s="6">
        <v>46184.0</v>
      </c>
      <c r="D415" s="7">
        <v>0.5208333333333334</v>
      </c>
      <c r="E415" s="7">
        <v>0.6041666666666666</v>
      </c>
      <c r="F415" s="2" t="s">
        <v>113</v>
      </c>
      <c r="G415" s="2">
        <v>22.0</v>
      </c>
      <c r="H415" s="8"/>
      <c r="I415" s="8"/>
      <c r="J415" s="8"/>
    </row>
    <row r="416" hidden="1">
      <c r="A416" s="2" t="s">
        <v>74</v>
      </c>
      <c r="B416" s="2" t="s">
        <v>205</v>
      </c>
      <c r="C416" s="6">
        <v>46184.0</v>
      </c>
      <c r="D416" s="7">
        <v>0.6145833333333334</v>
      </c>
      <c r="E416" s="7">
        <v>0.90625</v>
      </c>
      <c r="F416" s="2" t="s">
        <v>319</v>
      </c>
      <c r="G416" s="2">
        <v>12.0</v>
      </c>
      <c r="H416" s="8"/>
      <c r="I416" s="8"/>
      <c r="J416" s="8"/>
    </row>
    <row r="417" hidden="1">
      <c r="A417" s="2" t="s">
        <v>150</v>
      </c>
      <c r="B417" s="2" t="s">
        <v>155</v>
      </c>
      <c r="C417" s="6">
        <v>46184.0</v>
      </c>
      <c r="D417" s="7">
        <v>0.6458333333333334</v>
      </c>
      <c r="E417" s="7">
        <v>0.90625</v>
      </c>
      <c r="F417" s="2" t="s">
        <v>320</v>
      </c>
      <c r="G417" s="2">
        <v>4.0</v>
      </c>
      <c r="H417" s="8"/>
      <c r="I417" s="8"/>
      <c r="J417" s="8"/>
    </row>
    <row r="418" hidden="1">
      <c r="A418" s="2" t="s">
        <v>41</v>
      </c>
      <c r="B418" s="2" t="s">
        <v>42</v>
      </c>
      <c r="C418" s="6">
        <v>46185.0</v>
      </c>
      <c r="D418" s="7">
        <v>0.5208333333333334</v>
      </c>
      <c r="E418" s="7">
        <v>0.6875</v>
      </c>
      <c r="F418" s="2" t="s">
        <v>113</v>
      </c>
      <c r="G418" s="2">
        <v>15.0</v>
      </c>
      <c r="H418" s="8"/>
      <c r="I418" s="8"/>
      <c r="J418" s="8"/>
    </row>
    <row r="419" hidden="1">
      <c r="A419" s="2" t="s">
        <v>130</v>
      </c>
      <c r="B419" s="2" t="s">
        <v>99</v>
      </c>
      <c r="C419" s="6">
        <v>46185.0</v>
      </c>
      <c r="D419" s="7">
        <v>0.6388888888888888</v>
      </c>
      <c r="E419" s="7">
        <v>0.90625</v>
      </c>
      <c r="F419" s="2" t="s">
        <v>140</v>
      </c>
      <c r="G419" s="2">
        <v>12.0</v>
      </c>
      <c r="H419" s="8"/>
      <c r="I419" s="8"/>
      <c r="J419" s="8"/>
    </row>
    <row r="420" hidden="1">
      <c r="A420" s="2" t="s">
        <v>122</v>
      </c>
      <c r="B420" s="2" t="s">
        <v>315</v>
      </c>
      <c r="C420" s="6">
        <v>46188.0</v>
      </c>
      <c r="D420" s="7">
        <v>0.3125</v>
      </c>
      <c r="E420" s="7">
        <v>0.6875</v>
      </c>
      <c r="F420" s="2" t="s">
        <v>113</v>
      </c>
      <c r="G420" s="2">
        <v>2.0</v>
      </c>
      <c r="H420" s="8"/>
      <c r="I420" s="8"/>
      <c r="J420" s="8"/>
    </row>
    <row r="421" hidden="1">
      <c r="A421" s="2" t="s">
        <v>39</v>
      </c>
      <c r="B421" s="2" t="s">
        <v>37</v>
      </c>
      <c r="C421" s="6">
        <v>46188.0</v>
      </c>
      <c r="D421" s="7">
        <v>0.6145833333333334</v>
      </c>
      <c r="E421" s="7">
        <v>0.90625</v>
      </c>
      <c r="F421" s="2" t="s">
        <v>321</v>
      </c>
      <c r="G421" s="2">
        <v>12.0</v>
      </c>
      <c r="H421" s="8"/>
      <c r="I421" s="8"/>
      <c r="J421" s="8"/>
    </row>
    <row r="422" hidden="1">
      <c r="A422" s="2" t="s">
        <v>257</v>
      </c>
      <c r="B422" s="2" t="s">
        <v>322</v>
      </c>
      <c r="C422" s="6">
        <v>46189.0</v>
      </c>
      <c r="D422" s="7">
        <v>0.3333333333333333</v>
      </c>
      <c r="E422" s="7">
        <v>0.4166666666666667</v>
      </c>
      <c r="F422" s="2" t="s">
        <v>323</v>
      </c>
      <c r="G422" s="2">
        <v>24.0</v>
      </c>
      <c r="H422" s="8"/>
      <c r="I422" s="8"/>
      <c r="J422" s="8"/>
    </row>
    <row r="423" hidden="1">
      <c r="A423" s="2" t="s">
        <v>41</v>
      </c>
      <c r="B423" s="2" t="s">
        <v>42</v>
      </c>
      <c r="C423" s="6">
        <v>46188.0</v>
      </c>
      <c r="D423" s="7">
        <v>0.6041666666666666</v>
      </c>
      <c r="E423" s="7">
        <v>0.6875</v>
      </c>
      <c r="F423" s="2" t="s">
        <v>113</v>
      </c>
      <c r="G423" s="2">
        <v>10.0</v>
      </c>
      <c r="H423" s="8"/>
      <c r="I423" s="8"/>
      <c r="J423" s="8"/>
    </row>
    <row r="424" hidden="1">
      <c r="A424" s="2" t="s">
        <v>122</v>
      </c>
      <c r="B424" s="2" t="s">
        <v>271</v>
      </c>
      <c r="C424" s="6">
        <v>46189.0</v>
      </c>
      <c r="D424" s="7">
        <v>0.3125</v>
      </c>
      <c r="E424" s="7">
        <v>0.6875</v>
      </c>
      <c r="F424" s="2" t="s">
        <v>113</v>
      </c>
      <c r="G424" s="2">
        <v>1.0</v>
      </c>
      <c r="H424" s="8"/>
      <c r="I424" s="8"/>
      <c r="J424" s="8"/>
    </row>
    <row r="425" hidden="1">
      <c r="A425" s="2" t="s">
        <v>41</v>
      </c>
      <c r="B425" s="2" t="s">
        <v>69</v>
      </c>
      <c r="C425" s="6">
        <v>46189.0</v>
      </c>
      <c r="D425" s="7">
        <v>0.5208333333333334</v>
      </c>
      <c r="E425" s="7">
        <v>0.6875</v>
      </c>
      <c r="F425" s="2" t="s">
        <v>113</v>
      </c>
      <c r="G425" s="2">
        <v>13.0</v>
      </c>
      <c r="H425" s="8"/>
      <c r="I425" s="8"/>
      <c r="J425" s="8"/>
    </row>
    <row r="426" hidden="1">
      <c r="A426" s="2" t="s">
        <v>150</v>
      </c>
      <c r="B426" s="2" t="s">
        <v>267</v>
      </c>
      <c r="C426" s="6">
        <v>46189.0</v>
      </c>
      <c r="D426" s="7">
        <v>0.6145833333333334</v>
      </c>
      <c r="E426" s="7">
        <v>0.875</v>
      </c>
      <c r="F426" s="2" t="s">
        <v>317</v>
      </c>
      <c r="G426" s="2">
        <v>21.0</v>
      </c>
      <c r="H426" s="8"/>
      <c r="I426" s="8"/>
      <c r="J426" s="8"/>
    </row>
    <row r="427" hidden="1">
      <c r="A427" s="2" t="s">
        <v>39</v>
      </c>
      <c r="B427" s="2" t="s">
        <v>255</v>
      </c>
      <c r="C427" s="6">
        <v>46189.0</v>
      </c>
      <c r="D427" s="7">
        <v>0.6145833333333334</v>
      </c>
      <c r="E427" s="7">
        <v>0.8958333333333334</v>
      </c>
      <c r="F427" s="2" t="s">
        <v>317</v>
      </c>
      <c r="G427" s="2">
        <v>12.0</v>
      </c>
      <c r="H427" s="8"/>
      <c r="I427" s="8"/>
      <c r="J427" s="8"/>
    </row>
    <row r="428" hidden="1">
      <c r="A428" s="2" t="s">
        <v>130</v>
      </c>
      <c r="B428" s="2" t="s">
        <v>324</v>
      </c>
      <c r="C428" s="6">
        <v>46189.0</v>
      </c>
      <c r="D428" s="7">
        <v>0.6145833333333334</v>
      </c>
      <c r="E428" s="7">
        <v>0.90625</v>
      </c>
      <c r="F428" s="2" t="s">
        <v>325</v>
      </c>
      <c r="G428" s="2">
        <v>24.0</v>
      </c>
      <c r="H428" s="8"/>
      <c r="I428" s="8"/>
      <c r="J428" s="8"/>
    </row>
    <row r="429" hidden="1">
      <c r="A429" s="2" t="s">
        <v>62</v>
      </c>
      <c r="B429" s="2" t="s">
        <v>37</v>
      </c>
      <c r="C429" s="6">
        <v>46189.0</v>
      </c>
      <c r="D429" s="7">
        <v>0.75</v>
      </c>
      <c r="E429" s="7">
        <v>0.9027777777777778</v>
      </c>
      <c r="F429" s="2" t="s">
        <v>113</v>
      </c>
      <c r="G429" s="2">
        <v>8.0</v>
      </c>
      <c r="H429" s="8"/>
      <c r="I429" s="8"/>
      <c r="J429" s="8"/>
    </row>
    <row r="430" hidden="1">
      <c r="A430" s="2" t="s">
        <v>41</v>
      </c>
      <c r="B430" s="2" t="s">
        <v>69</v>
      </c>
      <c r="C430" s="6">
        <v>46190.0</v>
      </c>
      <c r="D430" s="7">
        <v>0.5208333333333334</v>
      </c>
      <c r="E430" s="7">
        <v>0.6875</v>
      </c>
      <c r="F430" s="2" t="s">
        <v>113</v>
      </c>
      <c r="G430" s="2">
        <v>15.0</v>
      </c>
      <c r="H430" s="8"/>
      <c r="I430" s="8"/>
      <c r="J430" s="8"/>
    </row>
    <row r="431" hidden="1">
      <c r="A431" s="2" t="s">
        <v>260</v>
      </c>
      <c r="B431" s="2" t="s">
        <v>100</v>
      </c>
      <c r="C431" s="6">
        <v>46190.0</v>
      </c>
      <c r="D431" s="7">
        <v>0.6145833333333334</v>
      </c>
      <c r="E431" s="7">
        <v>0.7222222222222222</v>
      </c>
      <c r="F431" s="2" t="s">
        <v>113</v>
      </c>
      <c r="G431" s="2">
        <v>24.0</v>
      </c>
      <c r="H431" s="8"/>
      <c r="I431" s="8"/>
      <c r="J431" s="8"/>
    </row>
    <row r="432" hidden="1">
      <c r="A432" s="2" t="s">
        <v>326</v>
      </c>
      <c r="B432" s="2" t="s">
        <v>327</v>
      </c>
      <c r="C432" s="6">
        <v>46197.0</v>
      </c>
      <c r="D432" s="7">
        <v>0.6041666666666666</v>
      </c>
      <c r="E432" s="8"/>
      <c r="F432" s="2" t="s">
        <v>328</v>
      </c>
      <c r="G432" s="2">
        <v>5.0</v>
      </c>
      <c r="H432" s="8"/>
      <c r="I432" s="8"/>
      <c r="J432" s="8"/>
    </row>
    <row r="433" hidden="1">
      <c r="A433" s="2" t="s">
        <v>130</v>
      </c>
      <c r="B433" s="2" t="s">
        <v>329</v>
      </c>
      <c r="C433" s="6">
        <v>46190.0</v>
      </c>
      <c r="D433" s="7">
        <v>0.6145833333333334</v>
      </c>
      <c r="E433" s="7">
        <v>0.90625</v>
      </c>
      <c r="F433" s="2" t="s">
        <v>325</v>
      </c>
      <c r="G433" s="2">
        <v>6.0</v>
      </c>
      <c r="H433" s="8"/>
      <c r="I433" s="8"/>
      <c r="J433" s="8"/>
    </row>
    <row r="434" hidden="1">
      <c r="A434" s="2" t="s">
        <v>330</v>
      </c>
      <c r="B434" s="8"/>
      <c r="C434" s="6">
        <v>46190.0</v>
      </c>
      <c r="D434" s="8"/>
      <c r="E434" s="8"/>
      <c r="F434" s="8"/>
      <c r="G434" s="2">
        <v>1.0</v>
      </c>
      <c r="H434" s="8"/>
      <c r="I434" s="8"/>
      <c r="J434" s="8"/>
    </row>
    <row r="435" hidden="1">
      <c r="A435" s="2" t="s">
        <v>41</v>
      </c>
      <c r="B435" s="2" t="s">
        <v>258</v>
      </c>
      <c r="C435" s="6">
        <v>46191.0</v>
      </c>
      <c r="D435" s="7">
        <v>0.3125</v>
      </c>
      <c r="E435" s="7">
        <v>0.6041666666666666</v>
      </c>
      <c r="F435" s="2" t="s">
        <v>113</v>
      </c>
      <c r="G435" s="2">
        <v>3.0</v>
      </c>
      <c r="H435" s="8"/>
      <c r="I435" s="8"/>
      <c r="J435" s="8"/>
    </row>
    <row r="436" hidden="1">
      <c r="A436" s="2" t="s">
        <v>130</v>
      </c>
      <c r="B436" s="2" t="s">
        <v>93</v>
      </c>
      <c r="C436" s="6">
        <v>46191.0</v>
      </c>
      <c r="D436" s="7">
        <v>0.6458333333333334</v>
      </c>
      <c r="E436" s="7">
        <v>0.90625</v>
      </c>
      <c r="F436" s="2" t="s">
        <v>140</v>
      </c>
      <c r="G436" s="2">
        <v>1.0</v>
      </c>
      <c r="H436" s="8"/>
      <c r="I436" s="8"/>
      <c r="J436" s="8"/>
    </row>
    <row r="437" hidden="1">
      <c r="A437" s="2" t="s">
        <v>331</v>
      </c>
      <c r="B437" s="2" t="s">
        <v>75</v>
      </c>
      <c r="C437" s="6">
        <v>46191.0</v>
      </c>
      <c r="D437" s="7">
        <v>0.7708333333333334</v>
      </c>
      <c r="E437" s="7">
        <v>0.875</v>
      </c>
      <c r="F437" s="8"/>
      <c r="G437" s="2">
        <v>3.0</v>
      </c>
      <c r="H437" s="8"/>
      <c r="I437" s="8"/>
      <c r="J437" s="8"/>
    </row>
    <row r="438" hidden="1">
      <c r="A438" s="2" t="s">
        <v>41</v>
      </c>
      <c r="B438" s="2" t="s">
        <v>69</v>
      </c>
      <c r="C438" s="6">
        <v>46192.0</v>
      </c>
      <c r="D438" s="7">
        <v>0.5208333333333334</v>
      </c>
      <c r="E438" s="7">
        <v>0.6875</v>
      </c>
      <c r="F438" s="2" t="s">
        <v>113</v>
      </c>
      <c r="G438" s="2">
        <v>15.0</v>
      </c>
      <c r="H438" s="8"/>
      <c r="I438" s="8"/>
      <c r="J438" s="8"/>
    </row>
    <row r="439" hidden="1">
      <c r="A439" s="2" t="s">
        <v>59</v>
      </c>
      <c r="B439" s="2" t="s">
        <v>255</v>
      </c>
      <c r="C439" s="6">
        <v>46192.0</v>
      </c>
      <c r="D439" s="7">
        <v>0.6145833333333334</v>
      </c>
      <c r="E439" s="7">
        <v>0.90625</v>
      </c>
      <c r="F439" s="2" t="s">
        <v>332</v>
      </c>
      <c r="G439" s="2">
        <v>24.0</v>
      </c>
      <c r="H439" s="8"/>
      <c r="I439" s="8"/>
      <c r="J439" s="8"/>
    </row>
    <row r="440" hidden="1">
      <c r="A440" s="2" t="s">
        <v>130</v>
      </c>
      <c r="B440" s="2" t="s">
        <v>99</v>
      </c>
      <c r="C440" s="6">
        <v>46192.0</v>
      </c>
      <c r="D440" s="7">
        <v>0.7708333333333334</v>
      </c>
      <c r="E440" s="7">
        <v>0.8541666666666666</v>
      </c>
      <c r="F440" s="2" t="s">
        <v>140</v>
      </c>
      <c r="G440" s="2">
        <v>10.0</v>
      </c>
      <c r="H440" s="8"/>
      <c r="I440" s="8"/>
      <c r="J440" s="8"/>
    </row>
    <row r="441" hidden="1">
      <c r="A441" s="2" t="s">
        <v>122</v>
      </c>
      <c r="B441" s="2" t="s">
        <v>315</v>
      </c>
      <c r="C441" s="6">
        <v>46195.0</v>
      </c>
      <c r="D441" s="7">
        <v>0.3125</v>
      </c>
      <c r="E441" s="7">
        <v>0.6875</v>
      </c>
      <c r="F441" s="2" t="s">
        <v>113</v>
      </c>
      <c r="G441" s="2">
        <v>2.0</v>
      </c>
      <c r="H441" s="8"/>
      <c r="I441" s="8"/>
      <c r="J441" s="8"/>
    </row>
    <row r="442" hidden="1">
      <c r="A442" s="2" t="s">
        <v>62</v>
      </c>
      <c r="B442" s="2" t="s">
        <v>99</v>
      </c>
      <c r="C442" s="6">
        <v>46197.0</v>
      </c>
      <c r="D442" s="7">
        <v>0.6041666666666666</v>
      </c>
      <c r="E442" s="7">
        <v>0.6944444444444444</v>
      </c>
      <c r="F442" s="2" t="s">
        <v>280</v>
      </c>
      <c r="G442" s="2">
        <v>12.0</v>
      </c>
      <c r="H442" s="8"/>
      <c r="I442" s="8"/>
      <c r="J442" s="8"/>
    </row>
    <row r="443" hidden="1">
      <c r="A443" s="2" t="s">
        <v>16</v>
      </c>
      <c r="B443" s="2" t="s">
        <v>17</v>
      </c>
      <c r="C443" s="6">
        <v>46195.0</v>
      </c>
      <c r="D443" s="7">
        <v>0.5416666666666666</v>
      </c>
      <c r="E443" s="7">
        <v>0.6041666666666666</v>
      </c>
      <c r="F443" s="2" t="s">
        <v>280</v>
      </c>
      <c r="G443" s="2">
        <v>1.0</v>
      </c>
      <c r="H443" s="8"/>
      <c r="I443" s="8"/>
      <c r="J443" s="8"/>
    </row>
    <row r="444" hidden="1">
      <c r="A444" s="2" t="s">
        <v>207</v>
      </c>
      <c r="B444" s="2" t="s">
        <v>37</v>
      </c>
      <c r="C444" s="6">
        <v>46195.0</v>
      </c>
      <c r="D444" s="7">
        <v>0.6145833333333334</v>
      </c>
      <c r="E444" s="7">
        <v>0.8958333333333334</v>
      </c>
      <c r="F444" s="2" t="s">
        <v>280</v>
      </c>
      <c r="G444" s="2">
        <v>12.0</v>
      </c>
      <c r="H444" s="8"/>
      <c r="I444" s="8"/>
      <c r="J444" s="8"/>
    </row>
    <row r="445" hidden="1">
      <c r="A445" s="2" t="s">
        <v>79</v>
      </c>
      <c r="B445" s="2" t="s">
        <v>333</v>
      </c>
      <c r="C445" s="6">
        <v>46195.0</v>
      </c>
      <c r="D445" s="7">
        <v>0.6145833333333334</v>
      </c>
      <c r="E445" s="7">
        <v>0.7291666666666666</v>
      </c>
      <c r="F445" s="2" t="s">
        <v>280</v>
      </c>
      <c r="G445" s="2">
        <v>13.0</v>
      </c>
      <c r="H445" s="8"/>
      <c r="I445" s="8"/>
      <c r="J445" s="8"/>
    </row>
    <row r="446" hidden="1">
      <c r="A446" s="2" t="s">
        <v>62</v>
      </c>
      <c r="B446" s="2" t="s">
        <v>205</v>
      </c>
      <c r="C446" s="6">
        <v>46195.0</v>
      </c>
      <c r="D446" s="7">
        <v>0.6666666666666666</v>
      </c>
      <c r="E446" s="7">
        <v>0.875</v>
      </c>
      <c r="F446" s="11" t="s">
        <v>259</v>
      </c>
      <c r="G446" s="2">
        <v>1.0</v>
      </c>
      <c r="H446" s="8"/>
      <c r="I446" s="8"/>
      <c r="J446" s="8"/>
    </row>
    <row r="447" hidden="1">
      <c r="A447" s="2" t="s">
        <v>41</v>
      </c>
      <c r="B447" s="2" t="s">
        <v>69</v>
      </c>
      <c r="C447" s="9">
        <v>46196.0</v>
      </c>
      <c r="D447" s="7">
        <v>0.5208333333333334</v>
      </c>
      <c r="E447" s="7">
        <v>0.6875</v>
      </c>
      <c r="F447" s="2" t="s">
        <v>280</v>
      </c>
      <c r="G447" s="2">
        <v>15.0</v>
      </c>
      <c r="H447" s="8"/>
      <c r="I447" s="8"/>
      <c r="J447" s="8"/>
    </row>
    <row r="448" hidden="1">
      <c r="A448" s="2" t="s">
        <v>207</v>
      </c>
      <c r="B448" s="2" t="s">
        <v>255</v>
      </c>
      <c r="C448" s="6">
        <v>46196.0</v>
      </c>
      <c r="D448" s="7">
        <v>0.6145833333333334</v>
      </c>
      <c r="E448" s="7">
        <v>0.90625</v>
      </c>
      <c r="F448" s="2" t="s">
        <v>259</v>
      </c>
      <c r="G448" s="2">
        <v>23.0</v>
      </c>
      <c r="H448" s="8"/>
      <c r="I448" s="8"/>
      <c r="J448" s="8"/>
    </row>
    <row r="449" hidden="1">
      <c r="A449" s="2" t="s">
        <v>79</v>
      </c>
      <c r="B449" s="18" t="s">
        <v>334</v>
      </c>
      <c r="C449" s="6">
        <v>46196.0</v>
      </c>
      <c r="D449" s="7">
        <v>0.6145833333333334</v>
      </c>
      <c r="E449" s="7">
        <v>0.90625</v>
      </c>
      <c r="F449" s="2" t="s">
        <v>259</v>
      </c>
      <c r="G449" s="2">
        <v>10.0</v>
      </c>
      <c r="H449" s="8"/>
      <c r="I449" s="8"/>
      <c r="J449" s="8"/>
    </row>
    <row r="450" hidden="1">
      <c r="A450" s="2" t="s">
        <v>150</v>
      </c>
      <c r="B450" s="2" t="s">
        <v>99</v>
      </c>
      <c r="C450" s="6">
        <v>46196.0</v>
      </c>
      <c r="D450" s="7">
        <v>0.6145833333333334</v>
      </c>
      <c r="E450" s="7">
        <v>0.90625</v>
      </c>
      <c r="F450" s="2" t="s">
        <v>259</v>
      </c>
      <c r="G450" s="2">
        <v>9.0</v>
      </c>
      <c r="H450" s="8"/>
      <c r="I450" s="8"/>
      <c r="J450" s="8"/>
    </row>
    <row r="451" hidden="1">
      <c r="A451" s="2" t="s">
        <v>62</v>
      </c>
      <c r="B451" s="2" t="s">
        <v>37</v>
      </c>
      <c r="C451" s="6">
        <v>46196.0</v>
      </c>
      <c r="D451" s="7">
        <v>0.7708333333333334</v>
      </c>
      <c r="E451" s="7">
        <v>0.90625</v>
      </c>
      <c r="F451" s="2" t="s">
        <v>280</v>
      </c>
      <c r="G451" s="2">
        <v>8.0</v>
      </c>
      <c r="H451" s="8"/>
      <c r="I451" s="8"/>
      <c r="J451" s="8"/>
    </row>
    <row r="452" hidden="1">
      <c r="A452" s="2" t="s">
        <v>41</v>
      </c>
      <c r="B452" s="2" t="s">
        <v>69</v>
      </c>
      <c r="C452" s="6">
        <v>46197.0</v>
      </c>
      <c r="D452" s="7">
        <v>0.5208333333333334</v>
      </c>
      <c r="E452" s="7">
        <v>0.6875</v>
      </c>
      <c r="F452" s="2" t="s">
        <v>280</v>
      </c>
      <c r="G452" s="2">
        <v>9.0</v>
      </c>
      <c r="H452" s="8"/>
      <c r="I452" s="8"/>
      <c r="J452" s="8"/>
    </row>
    <row r="453" hidden="1">
      <c r="A453" s="2" t="s">
        <v>257</v>
      </c>
      <c r="B453" s="2" t="s">
        <v>322</v>
      </c>
      <c r="C453" s="6">
        <v>46198.0</v>
      </c>
      <c r="D453" s="7">
        <v>0.5208333333333334</v>
      </c>
      <c r="E453" s="7">
        <v>0.6041666666666666</v>
      </c>
      <c r="F453" s="2" t="s">
        <v>335</v>
      </c>
      <c r="G453" s="2">
        <v>24.0</v>
      </c>
      <c r="H453" s="8"/>
      <c r="I453" s="8"/>
      <c r="J453" s="8"/>
    </row>
    <row r="454" hidden="1">
      <c r="A454" s="2" t="s">
        <v>122</v>
      </c>
      <c r="B454" s="2" t="s">
        <v>336</v>
      </c>
      <c r="C454" s="6">
        <v>46198.0</v>
      </c>
      <c r="D454" s="7">
        <v>0.3125</v>
      </c>
      <c r="E454" s="7">
        <v>0.4791666666666667</v>
      </c>
      <c r="F454" s="2" t="s">
        <v>280</v>
      </c>
      <c r="G454" s="2">
        <v>1.0</v>
      </c>
      <c r="H454" s="8"/>
      <c r="I454" s="8"/>
      <c r="J454" s="8"/>
    </row>
    <row r="455" hidden="1">
      <c r="A455" s="2" t="s">
        <v>337</v>
      </c>
      <c r="B455" s="2" t="s">
        <v>75</v>
      </c>
      <c r="C455" s="6">
        <v>46198.0</v>
      </c>
      <c r="D455" s="7">
        <v>0.625</v>
      </c>
      <c r="E455" s="7">
        <v>0.90625</v>
      </c>
      <c r="F455" s="2" t="s">
        <v>250</v>
      </c>
      <c r="G455" s="2">
        <v>8.0</v>
      </c>
      <c r="H455" s="8"/>
      <c r="I455" s="8"/>
      <c r="J455" s="8"/>
    </row>
    <row r="456" hidden="1">
      <c r="A456" s="2" t="s">
        <v>130</v>
      </c>
      <c r="B456" s="2" t="s">
        <v>338</v>
      </c>
      <c r="C456" s="6">
        <v>46198.0</v>
      </c>
      <c r="D456" s="7">
        <v>0.7638888888888888</v>
      </c>
      <c r="E456" s="7">
        <v>0.90625</v>
      </c>
      <c r="F456" s="2" t="s">
        <v>140</v>
      </c>
      <c r="G456" s="2">
        <v>19.0</v>
      </c>
      <c r="H456" s="8"/>
      <c r="I456" s="8"/>
      <c r="J456" s="8"/>
    </row>
    <row r="457" hidden="1">
      <c r="A457" s="2" t="s">
        <v>41</v>
      </c>
      <c r="B457" s="2" t="s">
        <v>69</v>
      </c>
      <c r="C457" s="9">
        <v>46199.0</v>
      </c>
      <c r="D457" s="7">
        <v>0.5208333333333334</v>
      </c>
      <c r="E457" s="7">
        <v>0.6875</v>
      </c>
      <c r="F457" s="2" t="s">
        <v>280</v>
      </c>
      <c r="G457" s="2">
        <v>15.0</v>
      </c>
      <c r="H457" s="8"/>
      <c r="I457" s="8"/>
      <c r="J457" s="8"/>
    </row>
    <row r="458" hidden="1">
      <c r="A458" s="2" t="s">
        <v>130</v>
      </c>
      <c r="B458" s="2" t="s">
        <v>339</v>
      </c>
      <c r="C458" s="6">
        <v>46199.0</v>
      </c>
      <c r="D458" s="7">
        <v>0.6145833333333334</v>
      </c>
      <c r="E458" s="7">
        <v>0.90625</v>
      </c>
      <c r="F458" s="2" t="s">
        <v>140</v>
      </c>
      <c r="G458" s="2">
        <v>12.0</v>
      </c>
      <c r="H458" s="8"/>
      <c r="I458" s="8"/>
      <c r="J458" s="8"/>
    </row>
    <row r="459">
      <c r="A459" s="2" t="s">
        <v>57</v>
      </c>
      <c r="B459" s="2" t="s">
        <v>96</v>
      </c>
      <c r="C459" s="6">
        <v>46203.0</v>
      </c>
      <c r="D459" s="7">
        <v>0.6145833333333334</v>
      </c>
      <c r="E459" s="7">
        <v>0.90625</v>
      </c>
      <c r="F459" s="2" t="s">
        <v>140</v>
      </c>
      <c r="G459" s="2">
        <v>16.0</v>
      </c>
      <c r="H459" s="8"/>
      <c r="I459" s="8"/>
      <c r="J459" s="8"/>
    </row>
    <row r="460">
      <c r="A460" s="2" t="s">
        <v>122</v>
      </c>
      <c r="B460" s="2" t="s">
        <v>315</v>
      </c>
      <c r="C460" s="6">
        <v>46203.0</v>
      </c>
      <c r="D460" s="7">
        <v>0.3125</v>
      </c>
      <c r="E460" s="7">
        <v>0.6875</v>
      </c>
      <c r="F460" s="2" t="s">
        <v>250</v>
      </c>
      <c r="G460" s="2">
        <v>1.0</v>
      </c>
      <c r="H460" s="8"/>
      <c r="I460" s="8"/>
      <c r="J460" s="8"/>
    </row>
    <row r="461">
      <c r="A461" s="2" t="s">
        <v>340</v>
      </c>
      <c r="B461" s="2" t="s">
        <v>341</v>
      </c>
      <c r="C461" s="6">
        <v>46203.0</v>
      </c>
      <c r="D461" s="7">
        <v>0.3611111111111111</v>
      </c>
      <c r="E461" s="7">
        <v>0.5208333333333334</v>
      </c>
      <c r="F461" s="2" t="s">
        <v>250</v>
      </c>
      <c r="G461" s="2">
        <v>1.0</v>
      </c>
      <c r="H461" s="8"/>
      <c r="I461" s="8"/>
      <c r="J461" s="8"/>
    </row>
    <row r="462" hidden="1">
      <c r="A462" s="2" t="s">
        <v>59</v>
      </c>
      <c r="B462" s="2" t="s">
        <v>37</v>
      </c>
      <c r="C462" s="6">
        <v>46202.0</v>
      </c>
      <c r="D462" s="7">
        <v>0.75</v>
      </c>
      <c r="E462" s="7">
        <v>0.8958333333333334</v>
      </c>
      <c r="F462" s="2" t="s">
        <v>342</v>
      </c>
      <c r="G462" s="2">
        <v>8.0</v>
      </c>
      <c r="H462" s="8"/>
      <c r="I462" s="8"/>
      <c r="J462" s="8"/>
    </row>
    <row r="463">
      <c r="A463" s="2" t="s">
        <v>57</v>
      </c>
      <c r="B463" s="2" t="s">
        <v>96</v>
      </c>
      <c r="C463" s="6">
        <v>46204.0</v>
      </c>
      <c r="D463" s="7">
        <v>0.6145833333333334</v>
      </c>
      <c r="E463" s="7">
        <v>0.90625</v>
      </c>
      <c r="F463" s="2" t="s">
        <v>140</v>
      </c>
      <c r="G463" s="2">
        <v>16.0</v>
      </c>
      <c r="H463" s="8"/>
      <c r="I463" s="8"/>
      <c r="J463" s="8"/>
    </row>
    <row r="464">
      <c r="A464" s="2" t="s">
        <v>57</v>
      </c>
      <c r="B464" s="2" t="s">
        <v>96</v>
      </c>
      <c r="C464" s="6">
        <v>46205.0</v>
      </c>
      <c r="D464" s="7">
        <v>0.75</v>
      </c>
      <c r="E464" s="7">
        <v>0.8958333333333334</v>
      </c>
      <c r="F464" s="2" t="s">
        <v>140</v>
      </c>
      <c r="G464" s="2">
        <v>16.0</v>
      </c>
      <c r="H464" s="8"/>
      <c r="I464" s="8"/>
      <c r="J464" s="8"/>
    </row>
    <row r="465">
      <c r="A465" s="8"/>
      <c r="B465" s="8"/>
      <c r="C465" s="19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19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19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19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19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19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19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19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19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19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19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19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19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19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19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19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19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19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19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19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19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19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19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19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19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19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19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19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19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19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19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19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19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19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19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19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19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19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19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19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19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19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19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19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19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19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19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19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19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19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19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19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19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19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19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19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19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19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19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19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19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19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19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19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19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19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19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19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19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19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19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19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19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19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19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19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19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19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19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19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19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19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19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19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19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19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19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19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19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19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19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19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19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19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19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19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19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19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19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19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19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19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19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19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19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19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19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19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19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19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19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19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19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19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19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19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19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19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19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19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19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19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19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19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19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19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19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19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19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19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19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19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19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19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19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19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19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19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19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19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19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19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19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19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19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19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19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19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19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19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19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19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19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19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19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19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19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19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19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19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19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19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19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19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19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19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19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19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19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19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19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19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19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19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19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19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19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19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19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19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19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19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19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19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19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19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19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19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19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19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19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19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19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19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19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19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19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19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19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19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19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19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19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19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19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19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19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19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19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19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19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19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19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19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19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19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19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19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19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19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19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19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19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19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19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19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19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19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19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19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19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19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19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19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19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19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19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19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19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19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19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19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19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19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19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19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19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19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19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19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19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19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19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19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19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19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19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19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19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19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19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19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19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19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19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19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19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19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19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19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19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19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19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19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19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19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19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19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19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19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19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19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19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19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19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19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19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19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19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19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19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19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19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19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19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19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19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19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19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19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19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19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19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19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19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19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19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19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19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19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19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19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19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19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19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19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19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19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19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19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19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19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19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19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19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19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19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19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19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19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19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19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19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19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19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19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19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19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19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19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19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19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19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19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19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19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19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19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19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19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19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19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19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19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19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19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19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19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19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19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19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19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19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19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19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19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19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19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19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19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19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19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19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19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19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19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19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19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19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19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19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19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19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19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19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19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19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19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19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19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19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19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19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19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19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19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19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19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19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19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19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19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19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19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19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19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19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19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19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19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19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19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19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19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19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19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19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19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19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19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19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19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19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19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19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19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19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19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19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19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19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19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19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19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19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19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19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19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19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19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19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19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19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19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19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19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19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19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19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19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19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19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19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19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19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19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19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19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19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19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19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19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19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19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19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19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19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19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19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19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19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19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19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19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19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19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19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19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19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19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19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19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19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19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19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19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19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19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19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19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19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19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19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19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19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19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19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19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19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19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19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19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19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19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19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19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19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19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19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19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19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19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19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19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19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19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19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19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19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19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19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19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19"/>
      <c r="D987" s="8"/>
      <c r="E987" s="8"/>
      <c r="F987" s="8"/>
      <c r="G987" s="8"/>
      <c r="H987" s="8"/>
      <c r="I987" s="8"/>
      <c r="J987" s="8"/>
    </row>
    <row r="988">
      <c r="C988" s="20"/>
    </row>
    <row r="989">
      <c r="C989" s="20"/>
    </row>
    <row r="990">
      <c r="C990" s="20"/>
    </row>
    <row r="991">
      <c r="C991" s="20"/>
    </row>
    <row r="992">
      <c r="C992" s="20"/>
    </row>
    <row r="993">
      <c r="C993" s="20"/>
    </row>
    <row r="994">
      <c r="C994" s="20"/>
    </row>
    <row r="995">
      <c r="C995" s="20"/>
    </row>
    <row r="996">
      <c r="C996" s="20"/>
    </row>
    <row r="997">
      <c r="C997" s="20"/>
    </row>
    <row r="998">
      <c r="C998" s="20"/>
    </row>
    <row r="999">
      <c r="C999" s="20"/>
    </row>
    <row r="1000">
      <c r="C1000" s="20"/>
    </row>
    <row r="1001">
      <c r="C1001" s="20"/>
    </row>
    <row r="1002">
      <c r="C1002" s="20"/>
    </row>
    <row r="1003">
      <c r="C1003" s="20"/>
    </row>
    <row r="1004">
      <c r="C1004" s="20"/>
    </row>
    <row r="1005">
      <c r="C1005" s="20"/>
    </row>
    <row r="1006">
      <c r="C1006" s="20"/>
    </row>
    <row r="1007">
      <c r="C1007" s="20"/>
    </row>
    <row r="1008">
      <c r="C1008" s="20"/>
    </row>
    <row r="1009">
      <c r="C1009" s="20"/>
    </row>
    <row r="1010">
      <c r="C1010" s="20"/>
    </row>
    <row r="1011">
      <c r="C1011" s="20"/>
    </row>
    <row r="1012">
      <c r="C1012" s="20"/>
    </row>
    <row r="1013">
      <c r="C1013" s="20"/>
    </row>
    <row r="1014">
      <c r="C1014" s="20"/>
    </row>
    <row r="1015">
      <c r="C1015" s="20"/>
    </row>
    <row r="1016">
      <c r="C1016" s="20"/>
    </row>
    <row r="1017">
      <c r="C1017" s="20"/>
    </row>
    <row r="1018">
      <c r="C1018" s="20"/>
    </row>
    <row r="1019">
      <c r="C1019" s="20"/>
    </row>
    <row r="1020">
      <c r="C1020" s="20"/>
    </row>
    <row r="1021">
      <c r="C1021" s="20"/>
    </row>
    <row r="1022">
      <c r="C1022" s="20"/>
    </row>
    <row r="1023">
      <c r="C1023" s="20"/>
    </row>
    <row r="1024">
      <c r="C1024" s="20"/>
    </row>
    <row r="1025">
      <c r="C1025" s="20"/>
    </row>
    <row r="1026">
      <c r="C1026" s="20"/>
    </row>
    <row r="1027">
      <c r="C1027" s="20"/>
    </row>
    <row r="1028">
      <c r="C1028" s="20"/>
    </row>
    <row r="1029">
      <c r="C1029" s="20"/>
    </row>
    <row r="1030">
      <c r="C1030" s="20"/>
    </row>
    <row r="1031">
      <c r="C1031" s="20"/>
    </row>
    <row r="1032">
      <c r="C1032" s="20"/>
    </row>
    <row r="1033">
      <c r="C1033" s="20"/>
    </row>
    <row r="1034">
      <c r="C1034" s="20"/>
    </row>
    <row r="1035">
      <c r="C1035" s="20"/>
    </row>
    <row r="1036">
      <c r="C1036" s="20"/>
    </row>
    <row r="1037">
      <c r="C1037" s="20"/>
    </row>
    <row r="1038">
      <c r="C1038" s="20"/>
    </row>
    <row r="1039">
      <c r="C1039" s="20"/>
    </row>
    <row r="1040">
      <c r="C1040" s="20"/>
    </row>
    <row r="1041">
      <c r="C1041" s="20"/>
    </row>
    <row r="1042">
      <c r="C1042" s="20"/>
    </row>
    <row r="1043">
      <c r="C1043" s="20"/>
    </row>
    <row r="1044">
      <c r="C1044" s="20"/>
    </row>
    <row r="1045">
      <c r="C1045" s="20"/>
    </row>
    <row r="1046">
      <c r="C1046" s="20"/>
    </row>
    <row r="1047">
      <c r="C1047" s="20"/>
    </row>
    <row r="1048">
      <c r="C1048" s="20"/>
    </row>
    <row r="1049">
      <c r="C1049" s="20"/>
    </row>
    <row r="1050">
      <c r="C1050" s="20"/>
    </row>
    <row r="1051">
      <c r="C1051" s="20"/>
    </row>
    <row r="1052">
      <c r="C1052" s="20"/>
    </row>
    <row r="1053">
      <c r="C1053" s="20"/>
    </row>
    <row r="1054">
      <c r="C1054" s="20"/>
    </row>
    <row r="1055">
      <c r="C1055" s="20"/>
    </row>
    <row r="1056">
      <c r="C1056" s="20"/>
    </row>
    <row r="1057">
      <c r="C1057" s="20"/>
    </row>
    <row r="1058">
      <c r="C1058" s="20"/>
    </row>
    <row r="1059">
      <c r="C1059" s="20"/>
    </row>
    <row r="1060">
      <c r="C1060" s="20"/>
    </row>
    <row r="1061">
      <c r="C1061" s="20"/>
    </row>
    <row r="1062">
      <c r="C1062" s="20"/>
    </row>
    <row r="1063">
      <c r="C1063" s="20"/>
    </row>
    <row r="1064">
      <c r="C1064" s="20"/>
    </row>
    <row r="1065">
      <c r="C1065" s="20"/>
    </row>
    <row r="1066">
      <c r="C1066" s="20"/>
    </row>
    <row r="1067">
      <c r="C1067" s="20"/>
    </row>
    <row r="1068">
      <c r="C1068" s="20"/>
    </row>
    <row r="1069">
      <c r="C1069" s="20"/>
    </row>
    <row r="1070">
      <c r="C1070" s="20"/>
    </row>
    <row r="1071">
      <c r="C1071" s="20"/>
    </row>
    <row r="1072">
      <c r="C1072" s="20"/>
    </row>
    <row r="1073">
      <c r="C1073" s="20"/>
    </row>
    <row r="1074">
      <c r="C1074" s="20"/>
    </row>
    <row r="1075">
      <c r="C1075" s="20"/>
    </row>
    <row r="1076">
      <c r="C1076" s="20"/>
    </row>
    <row r="1077">
      <c r="C1077" s="20"/>
    </row>
    <row r="1078">
      <c r="C1078" s="20"/>
    </row>
    <row r="1079">
      <c r="C1079" s="20"/>
    </row>
    <row r="1080">
      <c r="C1080" s="20"/>
    </row>
    <row r="1081">
      <c r="C1081" s="20"/>
    </row>
    <row r="1082">
      <c r="C1082" s="20"/>
    </row>
    <row r="1083">
      <c r="C1083" s="20"/>
    </row>
    <row r="1084">
      <c r="C1084" s="20"/>
    </row>
    <row r="1085">
      <c r="C1085" s="20"/>
    </row>
    <row r="1086">
      <c r="C1086" s="20"/>
    </row>
    <row r="1087">
      <c r="C1087" s="20"/>
    </row>
    <row r="1088">
      <c r="C1088" s="20"/>
    </row>
    <row r="1089">
      <c r="C1089" s="20"/>
    </row>
    <row r="1090">
      <c r="C1090" s="20"/>
    </row>
    <row r="1091">
      <c r="C1091" s="20"/>
    </row>
    <row r="1092">
      <c r="C1092" s="20"/>
    </row>
    <row r="1093">
      <c r="C1093" s="20"/>
    </row>
    <row r="1094">
      <c r="C1094" s="20"/>
    </row>
    <row r="1095">
      <c r="C1095" s="20"/>
    </row>
    <row r="1096">
      <c r="C1096" s="20"/>
    </row>
    <row r="1097">
      <c r="C1097" s="20"/>
    </row>
    <row r="1098">
      <c r="C1098" s="20"/>
    </row>
    <row r="1099">
      <c r="C1099" s="20"/>
    </row>
    <row r="1100">
      <c r="C1100" s="20"/>
    </row>
    <row r="1101">
      <c r="C1101" s="20"/>
    </row>
    <row r="1102">
      <c r="C1102" s="20"/>
    </row>
    <row r="1103">
      <c r="C1103" s="20"/>
    </row>
    <row r="1104">
      <c r="C1104" s="20"/>
    </row>
    <row r="1105">
      <c r="C1105" s="20"/>
    </row>
    <row r="1106">
      <c r="C1106" s="20"/>
    </row>
    <row r="1107">
      <c r="C1107" s="20"/>
    </row>
    <row r="1108">
      <c r="C1108" s="20"/>
    </row>
    <row r="1109">
      <c r="C1109" s="20"/>
    </row>
    <row r="1110">
      <c r="C1110" s="20"/>
    </row>
    <row r="1111">
      <c r="C1111" s="20"/>
    </row>
    <row r="1112">
      <c r="C1112" s="20"/>
    </row>
    <row r="1113">
      <c r="C1113" s="20"/>
    </row>
    <row r="1114">
      <c r="C1114" s="20"/>
    </row>
    <row r="1115">
      <c r="C1115" s="20"/>
    </row>
    <row r="1116">
      <c r="C1116" s="20"/>
    </row>
    <row r="1117">
      <c r="C1117" s="20"/>
    </row>
    <row r="1118">
      <c r="C1118" s="20"/>
    </row>
    <row r="1119">
      <c r="C1119" s="20"/>
    </row>
    <row r="1120">
      <c r="C1120" s="20"/>
    </row>
    <row r="1121">
      <c r="C1121" s="20"/>
    </row>
    <row r="1122">
      <c r="C1122" s="20"/>
    </row>
    <row r="1123">
      <c r="C1123" s="20"/>
    </row>
    <row r="1124">
      <c r="C1124" s="20"/>
    </row>
    <row r="1125">
      <c r="C1125" s="20"/>
    </row>
    <row r="1126">
      <c r="C1126" s="20"/>
    </row>
    <row r="1127">
      <c r="C1127" s="20"/>
    </row>
    <row r="1128">
      <c r="C1128" s="20"/>
    </row>
    <row r="1129">
      <c r="C1129" s="20"/>
    </row>
    <row r="1130">
      <c r="C1130" s="20"/>
    </row>
    <row r="1131">
      <c r="C1131" s="20"/>
    </row>
    <row r="1132">
      <c r="C1132" s="20"/>
    </row>
    <row r="1133">
      <c r="C1133" s="20"/>
    </row>
    <row r="1134">
      <c r="C1134" s="20"/>
    </row>
    <row r="1135">
      <c r="C1135" s="20"/>
    </row>
    <row r="1136">
      <c r="C1136" s="20"/>
    </row>
    <row r="1137">
      <c r="C1137" s="20"/>
    </row>
    <row r="1138">
      <c r="C1138" s="20"/>
    </row>
    <row r="1139">
      <c r="C1139" s="20"/>
    </row>
    <row r="1140">
      <c r="C1140" s="20"/>
    </row>
    <row r="1141">
      <c r="C1141" s="20"/>
    </row>
    <row r="1142">
      <c r="C1142" s="20"/>
    </row>
    <row r="1143">
      <c r="C1143" s="20"/>
    </row>
    <row r="1144">
      <c r="C1144" s="20"/>
    </row>
    <row r="1145">
      <c r="C1145" s="20"/>
    </row>
    <row r="1146">
      <c r="C1146" s="20"/>
    </row>
    <row r="1147">
      <c r="C1147" s="20"/>
    </row>
    <row r="1148">
      <c r="C1148" s="20"/>
    </row>
    <row r="1149">
      <c r="C1149" s="20"/>
    </row>
    <row r="1150">
      <c r="C1150" s="20"/>
    </row>
    <row r="1151">
      <c r="C1151" s="20"/>
    </row>
    <row r="1152">
      <c r="C1152" s="20"/>
    </row>
    <row r="1153">
      <c r="C1153" s="20"/>
    </row>
    <row r="1154">
      <c r="C1154" s="20"/>
    </row>
    <row r="1155">
      <c r="C1155" s="20"/>
    </row>
    <row r="1156">
      <c r="C1156" s="20"/>
    </row>
    <row r="1157">
      <c r="C1157" s="20"/>
    </row>
    <row r="1158">
      <c r="C1158" s="20"/>
    </row>
    <row r="1159">
      <c r="C1159" s="20"/>
    </row>
    <row r="1160">
      <c r="C1160" s="20"/>
    </row>
    <row r="1161">
      <c r="C1161" s="20"/>
    </row>
    <row r="1162">
      <c r="C1162" s="20"/>
    </row>
    <row r="1163">
      <c r="C1163" s="20"/>
    </row>
    <row r="1164">
      <c r="C1164" s="20"/>
    </row>
    <row r="1165">
      <c r="C1165" s="20"/>
    </row>
    <row r="1166">
      <c r="C1166" s="20"/>
    </row>
    <row r="1167">
      <c r="C1167" s="20"/>
    </row>
    <row r="1168">
      <c r="C1168" s="20"/>
    </row>
    <row r="1169">
      <c r="C1169" s="20"/>
    </row>
    <row r="1170">
      <c r="C1170" s="20"/>
    </row>
    <row r="1171">
      <c r="C1171" s="20"/>
    </row>
    <row r="1172">
      <c r="C1172" s="20"/>
    </row>
    <row r="1173">
      <c r="C1173" s="20"/>
    </row>
    <row r="1174">
      <c r="C1174" s="20"/>
    </row>
    <row r="1175">
      <c r="C1175" s="20"/>
    </row>
    <row r="1176">
      <c r="C1176" s="20"/>
    </row>
    <row r="1177">
      <c r="C1177" s="20"/>
    </row>
    <row r="1178">
      <c r="C1178" s="20"/>
    </row>
    <row r="1179">
      <c r="C1179" s="20"/>
    </row>
    <row r="1180">
      <c r="C1180" s="20"/>
    </row>
    <row r="1181">
      <c r="C1181" s="20"/>
    </row>
    <row r="1182">
      <c r="C1182" s="20"/>
    </row>
    <row r="1183">
      <c r="C1183" s="20"/>
    </row>
    <row r="1184">
      <c r="C1184" s="20"/>
    </row>
    <row r="1185">
      <c r="C1185" s="20"/>
    </row>
    <row r="1186">
      <c r="C1186" s="20"/>
    </row>
    <row r="1187">
      <c r="C1187" s="20"/>
    </row>
    <row r="1188">
      <c r="C1188" s="20"/>
    </row>
    <row r="1189">
      <c r="C1189" s="20"/>
    </row>
    <row r="1190">
      <c r="C1190" s="20"/>
    </row>
    <row r="1191">
      <c r="C1191" s="20"/>
    </row>
    <row r="1192">
      <c r="C1192" s="20"/>
    </row>
    <row r="1193">
      <c r="C1193" s="20"/>
    </row>
    <row r="1194">
      <c r="C1194" s="20"/>
    </row>
    <row r="1195">
      <c r="C1195" s="20"/>
    </row>
    <row r="1196">
      <c r="C1196" s="20"/>
    </row>
    <row r="1197">
      <c r="C1197" s="20"/>
    </row>
    <row r="1198">
      <c r="C1198" s="20"/>
    </row>
    <row r="1199">
      <c r="C1199" s="20"/>
    </row>
    <row r="1200">
      <c r="C1200" s="20"/>
    </row>
    <row r="1201">
      <c r="C1201" s="20"/>
    </row>
    <row r="1202">
      <c r="C1202" s="20"/>
    </row>
    <row r="1203">
      <c r="C1203" s="20"/>
    </row>
    <row r="1204">
      <c r="C1204" s="20"/>
    </row>
    <row r="1205">
      <c r="C1205" s="20"/>
    </row>
    <row r="1206">
      <c r="C1206" s="20"/>
    </row>
    <row r="1207">
      <c r="C1207" s="20"/>
    </row>
    <row r="1208">
      <c r="C1208" s="20"/>
    </row>
    <row r="1209">
      <c r="C1209" s="20"/>
    </row>
    <row r="1210">
      <c r="C1210" s="20"/>
    </row>
    <row r="1211">
      <c r="C1211" s="20"/>
    </row>
    <row r="1212">
      <c r="C1212" s="20"/>
    </row>
    <row r="1213">
      <c r="C1213" s="20"/>
    </row>
    <row r="1214">
      <c r="C1214" s="20"/>
    </row>
    <row r="1215">
      <c r="C1215" s="20"/>
    </row>
    <row r="1216">
      <c r="C1216" s="20"/>
    </row>
    <row r="1217">
      <c r="C1217" s="20"/>
    </row>
    <row r="1218">
      <c r="C1218" s="20"/>
    </row>
    <row r="1219">
      <c r="C1219" s="20"/>
    </row>
    <row r="1220">
      <c r="C1220" s="20"/>
    </row>
    <row r="1221">
      <c r="C1221" s="20"/>
    </row>
    <row r="1222">
      <c r="C1222" s="20"/>
    </row>
    <row r="1223">
      <c r="C1223" s="20"/>
    </row>
    <row r="1224">
      <c r="C1224" s="20"/>
    </row>
    <row r="1225">
      <c r="C1225" s="20"/>
    </row>
    <row r="1226">
      <c r="C1226" s="20"/>
    </row>
    <row r="1227">
      <c r="C1227" s="20"/>
    </row>
    <row r="1228">
      <c r="C1228" s="20"/>
    </row>
    <row r="1229">
      <c r="C1229" s="20"/>
    </row>
    <row r="1230">
      <c r="C1230" s="20"/>
    </row>
    <row r="1231">
      <c r="C1231" s="20"/>
    </row>
    <row r="1232">
      <c r="C1232" s="20"/>
    </row>
    <row r="1233">
      <c r="C1233" s="20"/>
    </row>
    <row r="1234">
      <c r="C1234" s="20"/>
    </row>
    <row r="1235">
      <c r="C1235" s="20"/>
    </row>
    <row r="1236">
      <c r="C1236" s="20"/>
    </row>
    <row r="1237">
      <c r="C1237" s="20"/>
    </row>
    <row r="1238">
      <c r="C1238" s="20"/>
    </row>
    <row r="1239">
      <c r="C1239" s="20"/>
    </row>
    <row r="1240">
      <c r="C1240" s="20"/>
    </row>
    <row r="1241">
      <c r="C1241" s="20"/>
    </row>
    <row r="1242">
      <c r="C1242" s="20"/>
    </row>
    <row r="1243">
      <c r="C1243" s="20"/>
    </row>
    <row r="1244">
      <c r="C1244" s="20"/>
    </row>
    <row r="1245">
      <c r="C1245" s="20"/>
    </row>
    <row r="1246">
      <c r="C1246" s="20"/>
    </row>
    <row r="1247">
      <c r="C1247" s="20"/>
    </row>
    <row r="1248">
      <c r="C1248" s="20"/>
    </row>
    <row r="1249">
      <c r="C1249" s="20"/>
    </row>
    <row r="1250">
      <c r="C1250" s="20"/>
    </row>
    <row r="1251">
      <c r="C1251" s="20"/>
    </row>
    <row r="1252">
      <c r="C1252" s="20"/>
    </row>
    <row r="1253">
      <c r="C1253" s="20"/>
    </row>
    <row r="1254">
      <c r="C1254" s="20"/>
    </row>
    <row r="1255">
      <c r="C1255" s="20"/>
    </row>
    <row r="1256">
      <c r="C1256" s="20"/>
    </row>
    <row r="1257">
      <c r="C1257" s="20"/>
    </row>
    <row r="1258">
      <c r="C1258" s="20"/>
    </row>
    <row r="1259">
      <c r="C1259" s="20"/>
    </row>
    <row r="1260">
      <c r="C1260" s="20"/>
    </row>
    <row r="1261">
      <c r="C1261" s="20"/>
    </row>
    <row r="1262">
      <c r="C1262" s="20"/>
    </row>
    <row r="1263">
      <c r="C1263" s="20"/>
    </row>
    <row r="1264">
      <c r="C1264" s="20"/>
    </row>
    <row r="1265">
      <c r="C1265" s="20"/>
    </row>
    <row r="1266">
      <c r="C1266" s="20"/>
    </row>
    <row r="1267">
      <c r="C1267" s="20"/>
    </row>
    <row r="1268">
      <c r="C1268" s="20"/>
    </row>
    <row r="1269">
      <c r="C1269" s="20"/>
    </row>
    <row r="1270">
      <c r="C1270" s="20"/>
    </row>
    <row r="1271">
      <c r="C1271" s="20"/>
    </row>
    <row r="1272">
      <c r="C1272" s="20"/>
    </row>
    <row r="1273">
      <c r="C1273" s="20"/>
    </row>
    <row r="1274">
      <c r="C1274" s="20"/>
    </row>
    <row r="1275">
      <c r="C1275" s="20"/>
    </row>
    <row r="1276">
      <c r="C1276" s="20"/>
    </row>
    <row r="1277">
      <c r="C1277" s="20"/>
    </row>
    <row r="1278">
      <c r="C1278" s="20"/>
    </row>
    <row r="1279">
      <c r="C1279" s="20"/>
    </row>
    <row r="1280">
      <c r="C1280" s="20"/>
    </row>
    <row r="1281">
      <c r="C1281" s="20"/>
    </row>
    <row r="1282">
      <c r="C1282" s="20"/>
    </row>
    <row r="1283">
      <c r="C1283" s="20"/>
    </row>
    <row r="1284">
      <c r="C1284" s="20"/>
    </row>
    <row r="1285">
      <c r="C1285" s="20"/>
    </row>
    <row r="1286">
      <c r="C1286" s="20"/>
    </row>
    <row r="1287">
      <c r="C1287" s="20"/>
    </row>
    <row r="1288">
      <c r="C1288" s="20"/>
    </row>
    <row r="1289">
      <c r="C1289" s="20"/>
    </row>
    <row r="1290">
      <c r="C1290" s="20"/>
    </row>
    <row r="1291">
      <c r="C1291" s="20"/>
    </row>
    <row r="1292">
      <c r="C1292" s="20"/>
    </row>
    <row r="1293">
      <c r="C1293" s="20"/>
    </row>
    <row r="1294">
      <c r="C1294" s="20"/>
    </row>
    <row r="1295">
      <c r="C1295" s="20"/>
    </row>
    <row r="1296">
      <c r="C1296" s="20"/>
    </row>
    <row r="1297">
      <c r="C1297" s="20"/>
    </row>
    <row r="1298">
      <c r="C1298" s="20"/>
    </row>
    <row r="1299">
      <c r="C1299" s="20"/>
    </row>
    <row r="1300">
      <c r="C1300" s="20"/>
    </row>
    <row r="1301">
      <c r="C1301" s="20"/>
    </row>
    <row r="1302">
      <c r="C1302" s="20"/>
    </row>
    <row r="1303">
      <c r="C1303" s="20"/>
    </row>
    <row r="1304">
      <c r="C1304" s="20"/>
    </row>
    <row r="1305">
      <c r="C1305" s="20"/>
    </row>
    <row r="1306">
      <c r="C1306" s="20"/>
    </row>
    <row r="1307">
      <c r="C1307" s="20"/>
    </row>
    <row r="1308">
      <c r="C1308" s="20"/>
    </row>
    <row r="1309">
      <c r="C1309" s="20"/>
    </row>
    <row r="1310">
      <c r="C1310" s="20"/>
    </row>
    <row r="1311">
      <c r="C1311" s="20"/>
    </row>
    <row r="1312">
      <c r="C1312" s="20"/>
    </row>
    <row r="1313">
      <c r="C1313" s="20"/>
    </row>
    <row r="1314">
      <c r="C1314" s="20"/>
    </row>
    <row r="1315">
      <c r="C1315" s="20"/>
    </row>
    <row r="1316">
      <c r="C1316" s="20"/>
    </row>
    <row r="1317">
      <c r="C1317" s="20"/>
    </row>
    <row r="1318">
      <c r="C1318" s="20"/>
    </row>
    <row r="1319">
      <c r="C1319" s="20"/>
    </row>
    <row r="1320">
      <c r="C1320" s="20"/>
    </row>
    <row r="1321">
      <c r="C1321" s="20"/>
    </row>
    <row r="1322">
      <c r="C1322" s="20"/>
    </row>
    <row r="1323">
      <c r="C1323" s="20"/>
    </row>
    <row r="1324">
      <c r="C1324" s="20"/>
    </row>
    <row r="1325">
      <c r="C1325" s="20"/>
    </row>
    <row r="1326">
      <c r="C1326" s="20"/>
    </row>
    <row r="1327">
      <c r="C1327" s="20"/>
    </row>
    <row r="1328">
      <c r="C1328" s="20"/>
    </row>
    <row r="1329">
      <c r="C1329" s="20"/>
    </row>
    <row r="1330">
      <c r="C1330" s="20"/>
    </row>
    <row r="1331">
      <c r="C1331" s="20"/>
    </row>
    <row r="1332">
      <c r="C1332" s="20"/>
    </row>
    <row r="1333">
      <c r="C1333" s="20"/>
    </row>
    <row r="1334">
      <c r="C1334" s="20"/>
    </row>
    <row r="1335">
      <c r="C1335" s="20"/>
    </row>
    <row r="1336">
      <c r="C1336" s="20"/>
    </row>
    <row r="1337">
      <c r="C1337" s="20"/>
    </row>
    <row r="1338">
      <c r="C1338" s="20"/>
    </row>
    <row r="1339">
      <c r="C1339" s="20"/>
    </row>
    <row r="1340">
      <c r="C1340" s="20"/>
    </row>
    <row r="1341">
      <c r="C1341" s="20"/>
    </row>
    <row r="1342">
      <c r="C1342" s="20"/>
    </row>
    <row r="1343">
      <c r="C1343" s="20"/>
    </row>
    <row r="1344">
      <c r="C1344" s="20"/>
    </row>
    <row r="1345">
      <c r="C1345" s="20"/>
    </row>
    <row r="1346">
      <c r="C1346" s="20"/>
    </row>
    <row r="1347">
      <c r="C1347" s="20"/>
    </row>
    <row r="1348">
      <c r="C1348" s="20"/>
    </row>
    <row r="1349">
      <c r="C1349" s="20"/>
    </row>
    <row r="1350">
      <c r="C1350" s="20"/>
    </row>
    <row r="1351">
      <c r="C1351" s="20"/>
    </row>
    <row r="1352">
      <c r="C1352" s="20"/>
    </row>
    <row r="1353">
      <c r="C1353" s="20"/>
    </row>
    <row r="1354">
      <c r="C1354" s="20"/>
    </row>
    <row r="1355">
      <c r="C1355" s="20"/>
    </row>
    <row r="1356">
      <c r="C1356" s="20"/>
    </row>
    <row r="1357">
      <c r="C1357" s="20"/>
    </row>
    <row r="1358">
      <c r="C1358" s="20"/>
    </row>
    <row r="1359">
      <c r="C1359" s="20"/>
    </row>
    <row r="1360">
      <c r="C1360" s="20"/>
    </row>
    <row r="1361">
      <c r="C1361" s="20"/>
    </row>
    <row r="1362">
      <c r="C1362" s="20"/>
    </row>
    <row r="1363">
      <c r="C1363" s="20"/>
    </row>
    <row r="1364">
      <c r="C1364" s="20"/>
    </row>
    <row r="1365">
      <c r="C1365" s="20"/>
    </row>
    <row r="1366">
      <c r="C1366" s="20"/>
    </row>
    <row r="1367">
      <c r="C1367" s="20"/>
    </row>
    <row r="1368">
      <c r="C1368" s="20"/>
    </row>
    <row r="1369">
      <c r="C1369" s="20"/>
    </row>
    <row r="1370">
      <c r="C1370" s="20"/>
    </row>
    <row r="1371">
      <c r="C1371" s="20"/>
    </row>
    <row r="1372">
      <c r="C1372" s="20"/>
    </row>
    <row r="1373">
      <c r="C1373" s="20"/>
    </row>
    <row r="1374">
      <c r="C1374" s="20"/>
    </row>
    <row r="1375">
      <c r="C1375" s="20"/>
    </row>
    <row r="1376">
      <c r="C1376" s="20"/>
    </row>
    <row r="1377">
      <c r="C1377" s="20"/>
    </row>
    <row r="1378">
      <c r="C1378" s="20"/>
    </row>
    <row r="1379">
      <c r="C1379" s="20"/>
    </row>
    <row r="1380">
      <c r="C1380" s="20"/>
    </row>
    <row r="1381">
      <c r="C1381" s="20"/>
    </row>
    <row r="1382">
      <c r="C1382" s="20"/>
    </row>
    <row r="1383">
      <c r="C1383" s="20"/>
    </row>
    <row r="1384">
      <c r="C1384" s="20"/>
    </row>
    <row r="1385">
      <c r="C1385" s="20"/>
    </row>
    <row r="1386">
      <c r="C1386" s="20"/>
    </row>
    <row r="1387">
      <c r="C1387" s="20"/>
    </row>
    <row r="1388">
      <c r="C1388" s="20"/>
    </row>
    <row r="1389">
      <c r="C1389" s="20"/>
    </row>
    <row r="1390">
      <c r="C1390" s="20"/>
    </row>
    <row r="1391">
      <c r="C1391" s="20"/>
    </row>
    <row r="1392">
      <c r="C1392" s="20"/>
    </row>
    <row r="1393">
      <c r="C1393" s="20"/>
    </row>
    <row r="1394">
      <c r="C1394" s="20"/>
    </row>
    <row r="1395">
      <c r="C1395" s="20"/>
    </row>
    <row r="1396">
      <c r="C1396" s="20"/>
    </row>
    <row r="1397">
      <c r="C1397" s="20"/>
    </row>
    <row r="1398">
      <c r="C1398" s="20"/>
    </row>
    <row r="1399">
      <c r="C1399" s="20"/>
    </row>
    <row r="1400">
      <c r="C1400" s="20"/>
    </row>
    <row r="1401">
      <c r="C1401" s="20"/>
    </row>
    <row r="1402">
      <c r="C1402" s="20"/>
    </row>
    <row r="1403">
      <c r="C1403" s="20"/>
    </row>
    <row r="1404">
      <c r="C1404" s="20"/>
    </row>
    <row r="1405">
      <c r="C1405" s="20"/>
    </row>
    <row r="1406">
      <c r="C1406" s="20"/>
    </row>
    <row r="1407">
      <c r="C1407" s="20"/>
    </row>
    <row r="1408">
      <c r="C1408" s="20"/>
    </row>
    <row r="1409">
      <c r="C1409" s="20"/>
    </row>
    <row r="1410">
      <c r="C1410" s="20"/>
    </row>
    <row r="1411">
      <c r="C1411" s="20"/>
    </row>
    <row r="1412">
      <c r="C1412" s="20"/>
    </row>
    <row r="1413">
      <c r="C1413" s="20"/>
    </row>
    <row r="1414">
      <c r="C1414" s="20"/>
    </row>
    <row r="1415">
      <c r="C1415" s="20"/>
    </row>
    <row r="1416">
      <c r="C1416" s="20"/>
    </row>
    <row r="1417">
      <c r="C1417" s="20"/>
    </row>
    <row r="1418">
      <c r="C1418" s="20"/>
    </row>
    <row r="1419">
      <c r="C1419" s="20"/>
    </row>
    <row r="1420">
      <c r="C1420" s="20"/>
    </row>
    <row r="1421">
      <c r="C1421" s="20"/>
    </row>
    <row r="1422">
      <c r="C1422" s="20"/>
    </row>
    <row r="1423">
      <c r="C1423" s="20"/>
    </row>
    <row r="1424">
      <c r="C1424" s="20"/>
    </row>
    <row r="1425">
      <c r="C1425" s="20"/>
    </row>
    <row r="1426">
      <c r="C1426" s="20"/>
    </row>
    <row r="1427">
      <c r="C1427" s="20"/>
    </row>
    <row r="1428">
      <c r="C1428" s="20"/>
    </row>
    <row r="1429">
      <c r="C1429" s="20"/>
    </row>
    <row r="1430">
      <c r="C1430" s="20"/>
    </row>
    <row r="1431">
      <c r="C1431" s="20"/>
    </row>
    <row r="1432">
      <c r="C1432" s="20"/>
    </row>
    <row r="1433">
      <c r="C1433" s="20"/>
    </row>
    <row r="1434">
      <c r="C1434" s="20"/>
    </row>
    <row r="1435">
      <c r="C1435" s="20"/>
    </row>
    <row r="1436">
      <c r="C1436" s="20"/>
    </row>
    <row r="1437">
      <c r="C1437" s="20"/>
    </row>
    <row r="1438">
      <c r="C1438" s="20"/>
    </row>
    <row r="1439">
      <c r="C1439" s="20"/>
    </row>
    <row r="1440">
      <c r="C1440" s="20"/>
    </row>
    <row r="1441">
      <c r="C1441" s="20"/>
    </row>
    <row r="1442">
      <c r="C1442" s="20"/>
    </row>
    <row r="1443">
      <c r="C1443" s="20"/>
    </row>
    <row r="1444">
      <c r="C1444" s="20"/>
    </row>
    <row r="1445">
      <c r="C1445" s="20"/>
    </row>
    <row r="1446">
      <c r="C1446" s="20"/>
    </row>
    <row r="1447">
      <c r="C1447" s="20"/>
    </row>
    <row r="1448">
      <c r="C1448" s="20"/>
    </row>
    <row r="1449">
      <c r="C1449" s="20"/>
    </row>
    <row r="1450">
      <c r="C1450" s="20"/>
    </row>
    <row r="1451">
      <c r="C1451" s="20"/>
    </row>
    <row r="1452">
      <c r="C1452" s="20"/>
    </row>
    <row r="1453">
      <c r="C1453" s="20"/>
    </row>
    <row r="1454">
      <c r="C1454" s="20"/>
    </row>
    <row r="1455">
      <c r="C1455" s="20"/>
    </row>
    <row r="1456">
      <c r="C1456" s="20"/>
    </row>
    <row r="1457">
      <c r="C1457" s="20"/>
    </row>
    <row r="1458">
      <c r="C1458" s="20"/>
    </row>
    <row r="1459">
      <c r="C1459" s="20"/>
    </row>
    <row r="1460">
      <c r="C1460" s="20"/>
    </row>
    <row r="1461">
      <c r="C1461" s="20"/>
    </row>
    <row r="1462">
      <c r="C1462" s="20"/>
    </row>
    <row r="1463">
      <c r="C1463" s="20"/>
    </row>
    <row r="1464">
      <c r="C1464" s="20"/>
    </row>
    <row r="1465">
      <c r="C1465" s="20"/>
    </row>
    <row r="1466">
      <c r="C1466" s="20"/>
    </row>
    <row r="1467">
      <c r="C1467" s="20"/>
    </row>
    <row r="1468">
      <c r="C1468" s="20"/>
    </row>
    <row r="1469">
      <c r="C1469" s="20"/>
    </row>
    <row r="1470">
      <c r="C1470" s="20"/>
    </row>
    <row r="1471">
      <c r="C1471" s="20"/>
    </row>
    <row r="1472">
      <c r="C1472" s="20"/>
    </row>
    <row r="1473">
      <c r="C1473" s="20"/>
    </row>
    <row r="1474">
      <c r="C1474" s="20"/>
    </row>
    <row r="1475">
      <c r="C1475" s="20"/>
    </row>
    <row r="1476">
      <c r="C1476" s="20"/>
    </row>
    <row r="1477">
      <c r="C1477" s="20"/>
    </row>
    <row r="1478">
      <c r="C1478" s="20"/>
    </row>
    <row r="1479">
      <c r="C1479" s="20"/>
    </row>
    <row r="1480">
      <c r="C1480" s="20"/>
    </row>
    <row r="1481">
      <c r="C1481" s="20"/>
    </row>
    <row r="1482">
      <c r="C1482" s="20"/>
    </row>
    <row r="1483">
      <c r="C1483" s="20"/>
    </row>
    <row r="1484">
      <c r="C1484" s="20"/>
    </row>
    <row r="1485">
      <c r="C1485" s="20"/>
    </row>
    <row r="1486">
      <c r="C1486" s="20"/>
    </row>
    <row r="1487">
      <c r="C1487" s="20"/>
    </row>
    <row r="1488">
      <c r="C1488" s="20"/>
    </row>
    <row r="1489">
      <c r="C1489" s="20"/>
    </row>
    <row r="1490">
      <c r="C1490" s="20"/>
    </row>
    <row r="1491">
      <c r="C1491" s="20"/>
    </row>
    <row r="1492">
      <c r="C1492" s="20"/>
    </row>
    <row r="1493">
      <c r="C1493" s="20"/>
    </row>
    <row r="1494">
      <c r="C1494" s="20"/>
    </row>
    <row r="1495">
      <c r="C1495" s="20"/>
    </row>
    <row r="1496">
      <c r="C1496" s="20"/>
    </row>
    <row r="1497">
      <c r="C1497" s="20"/>
    </row>
    <row r="1498">
      <c r="C1498" s="20"/>
    </row>
    <row r="1499">
      <c r="C1499" s="20"/>
    </row>
    <row r="1500">
      <c r="C1500" s="20"/>
    </row>
    <row r="1501">
      <c r="C1501" s="20"/>
    </row>
    <row r="1502">
      <c r="C1502" s="20"/>
    </row>
    <row r="1503">
      <c r="C1503" s="20"/>
    </row>
    <row r="1504">
      <c r="C1504" s="20"/>
    </row>
    <row r="1505">
      <c r="C1505" s="20"/>
    </row>
    <row r="1506">
      <c r="C1506" s="20"/>
    </row>
    <row r="1507">
      <c r="C1507" s="20"/>
    </row>
    <row r="1508">
      <c r="C1508" s="20"/>
    </row>
    <row r="1509">
      <c r="C1509" s="20"/>
    </row>
    <row r="1510">
      <c r="C1510" s="20"/>
    </row>
    <row r="1511">
      <c r="C1511" s="20"/>
    </row>
    <row r="1512">
      <c r="C1512" s="20"/>
    </row>
    <row r="1513">
      <c r="C1513" s="20"/>
    </row>
    <row r="1514">
      <c r="C1514" s="20"/>
    </row>
    <row r="1515">
      <c r="C1515" s="20"/>
    </row>
    <row r="1516">
      <c r="C1516" s="20"/>
    </row>
    <row r="1517">
      <c r="C1517" s="20"/>
    </row>
    <row r="1518">
      <c r="C1518" s="20"/>
    </row>
    <row r="1519">
      <c r="C1519" s="20"/>
    </row>
    <row r="1520">
      <c r="C1520" s="20"/>
    </row>
    <row r="1521">
      <c r="C1521" s="20"/>
    </row>
    <row r="1522">
      <c r="C1522" s="20"/>
    </row>
    <row r="1523">
      <c r="C1523" s="20"/>
    </row>
    <row r="1524">
      <c r="C1524" s="20"/>
    </row>
    <row r="1525">
      <c r="C1525" s="20"/>
    </row>
    <row r="1526">
      <c r="C1526" s="20"/>
    </row>
    <row r="1527">
      <c r="C1527" s="20"/>
    </row>
    <row r="1528">
      <c r="C1528" s="20"/>
    </row>
    <row r="1529">
      <c r="C1529" s="20"/>
    </row>
    <row r="1530">
      <c r="C1530" s="20"/>
    </row>
    <row r="1531">
      <c r="C1531" s="20"/>
    </row>
    <row r="1532">
      <c r="C1532" s="20"/>
    </row>
    <row r="1533">
      <c r="C1533" s="20"/>
    </row>
    <row r="1534">
      <c r="C1534" s="20"/>
    </row>
    <row r="1535">
      <c r="C1535" s="20"/>
    </row>
    <row r="1536">
      <c r="C1536" s="20"/>
    </row>
    <row r="1537">
      <c r="C1537" s="20"/>
    </row>
    <row r="1538">
      <c r="C1538" s="20"/>
    </row>
    <row r="1539">
      <c r="C1539" s="20"/>
    </row>
    <row r="1540">
      <c r="C1540" s="20"/>
    </row>
    <row r="1541">
      <c r="C1541" s="20"/>
    </row>
    <row r="1542">
      <c r="C1542" s="20"/>
    </row>
    <row r="1543">
      <c r="C1543" s="20"/>
    </row>
    <row r="1544">
      <c r="C1544" s="20"/>
    </row>
    <row r="1545">
      <c r="C1545" s="20"/>
    </row>
    <row r="1546">
      <c r="C1546" s="20"/>
    </row>
    <row r="1547">
      <c r="C1547" s="20"/>
    </row>
    <row r="1548">
      <c r="C1548" s="20"/>
    </row>
    <row r="1549">
      <c r="C1549" s="20"/>
    </row>
    <row r="1550">
      <c r="C1550" s="20"/>
    </row>
    <row r="1551">
      <c r="C1551" s="20"/>
    </row>
    <row r="1552">
      <c r="C1552" s="20"/>
    </row>
    <row r="1553">
      <c r="C1553" s="20"/>
    </row>
    <row r="1554">
      <c r="C1554" s="20"/>
    </row>
    <row r="1555">
      <c r="C1555" s="20"/>
    </row>
    <row r="1556">
      <c r="C1556" s="20"/>
    </row>
    <row r="1557">
      <c r="C1557" s="20"/>
    </row>
    <row r="1558">
      <c r="C1558" s="20"/>
    </row>
    <row r="1559">
      <c r="C1559" s="20"/>
    </row>
    <row r="1560">
      <c r="C1560" s="20"/>
    </row>
    <row r="1561">
      <c r="C1561" s="20"/>
    </row>
    <row r="1562">
      <c r="C1562" s="20"/>
    </row>
    <row r="1563">
      <c r="C1563" s="20"/>
    </row>
    <row r="1564">
      <c r="C1564" s="20"/>
    </row>
    <row r="1565">
      <c r="C1565" s="20"/>
    </row>
    <row r="1566">
      <c r="C1566" s="20"/>
    </row>
    <row r="1567">
      <c r="C1567" s="20"/>
    </row>
    <row r="1568">
      <c r="C1568" s="20"/>
    </row>
    <row r="1569">
      <c r="C1569" s="20"/>
    </row>
    <row r="1570">
      <c r="C1570" s="20"/>
    </row>
    <row r="1571">
      <c r="C1571" s="20"/>
    </row>
    <row r="1572">
      <c r="C1572" s="20"/>
    </row>
    <row r="1573">
      <c r="C1573" s="20"/>
    </row>
    <row r="1574">
      <c r="C1574" s="20"/>
    </row>
    <row r="1575">
      <c r="C1575" s="20"/>
    </row>
    <row r="1576">
      <c r="C1576" s="20"/>
    </row>
    <row r="1577">
      <c r="C1577" s="20"/>
    </row>
    <row r="1578">
      <c r="C1578" s="20"/>
    </row>
    <row r="1579">
      <c r="C1579" s="20"/>
    </row>
    <row r="1580">
      <c r="C1580" s="20"/>
    </row>
    <row r="1581">
      <c r="C1581" s="20"/>
    </row>
    <row r="1582">
      <c r="C1582" s="20"/>
    </row>
    <row r="1583">
      <c r="C1583" s="20"/>
    </row>
    <row r="1584">
      <c r="C1584" s="20"/>
    </row>
    <row r="1585">
      <c r="C1585" s="20"/>
    </row>
    <row r="1586">
      <c r="C1586" s="20"/>
    </row>
    <row r="1587">
      <c r="C1587" s="20"/>
    </row>
    <row r="1588">
      <c r="C1588" s="20"/>
    </row>
    <row r="1589">
      <c r="C1589" s="20"/>
    </row>
    <row r="1590">
      <c r="C1590" s="20"/>
    </row>
    <row r="1591">
      <c r="C1591" s="20"/>
    </row>
    <row r="1592">
      <c r="C1592" s="20"/>
    </row>
    <row r="1593">
      <c r="C1593" s="20"/>
    </row>
    <row r="1594">
      <c r="C1594" s="20"/>
    </row>
    <row r="1595">
      <c r="C1595" s="20"/>
    </row>
    <row r="1596">
      <c r="C1596" s="20"/>
    </row>
    <row r="1597">
      <c r="C1597" s="20"/>
    </row>
    <row r="1598">
      <c r="C1598" s="20"/>
    </row>
    <row r="1599">
      <c r="C1599" s="20"/>
    </row>
    <row r="1600">
      <c r="C1600" s="20"/>
    </row>
    <row r="1601">
      <c r="C1601" s="20"/>
    </row>
    <row r="1602">
      <c r="C1602" s="20"/>
    </row>
    <row r="1603">
      <c r="C1603" s="20"/>
    </row>
    <row r="1604">
      <c r="C1604" s="20"/>
    </row>
    <row r="1605">
      <c r="C1605" s="20"/>
    </row>
    <row r="1606">
      <c r="C1606" s="20"/>
    </row>
    <row r="1607">
      <c r="C1607" s="20"/>
    </row>
    <row r="1608">
      <c r="C1608" s="20"/>
    </row>
    <row r="1609">
      <c r="C1609" s="20"/>
    </row>
    <row r="1610">
      <c r="C1610" s="20"/>
    </row>
    <row r="1611">
      <c r="C1611" s="20"/>
    </row>
    <row r="1612">
      <c r="C1612" s="20"/>
    </row>
    <row r="1613">
      <c r="C1613" s="20"/>
    </row>
    <row r="1614">
      <c r="C1614" s="20"/>
    </row>
    <row r="1615">
      <c r="C1615" s="20"/>
    </row>
    <row r="1616">
      <c r="C1616" s="20"/>
    </row>
    <row r="1617">
      <c r="C1617" s="20"/>
    </row>
    <row r="1618">
      <c r="C1618" s="20"/>
    </row>
    <row r="1619">
      <c r="C1619" s="20"/>
    </row>
    <row r="1620">
      <c r="C1620" s="20"/>
    </row>
    <row r="1621">
      <c r="C1621" s="20"/>
    </row>
    <row r="1622">
      <c r="C1622" s="20"/>
    </row>
    <row r="1623">
      <c r="C1623" s="20"/>
    </row>
    <row r="1624">
      <c r="C1624" s="20"/>
    </row>
    <row r="1625">
      <c r="C1625" s="20"/>
    </row>
    <row r="1626">
      <c r="C1626" s="20"/>
    </row>
    <row r="1627">
      <c r="C1627" s="20"/>
    </row>
    <row r="1628">
      <c r="C1628" s="20"/>
    </row>
    <row r="1629">
      <c r="C1629" s="20"/>
    </row>
    <row r="1630">
      <c r="C1630" s="20"/>
    </row>
    <row r="1631">
      <c r="C1631" s="20"/>
    </row>
    <row r="1632">
      <c r="C1632" s="20"/>
    </row>
    <row r="1633">
      <c r="C1633" s="20"/>
    </row>
    <row r="1634">
      <c r="C1634" s="20"/>
    </row>
    <row r="1635">
      <c r="C1635" s="20"/>
    </row>
    <row r="1636">
      <c r="C1636" s="20"/>
    </row>
    <row r="1637">
      <c r="C1637" s="20"/>
    </row>
    <row r="1638">
      <c r="C1638" s="20"/>
    </row>
    <row r="1639">
      <c r="C1639" s="20"/>
    </row>
    <row r="1640">
      <c r="C1640" s="20"/>
    </row>
    <row r="1641">
      <c r="C1641" s="20"/>
    </row>
    <row r="1642">
      <c r="C1642" s="20"/>
    </row>
    <row r="1643">
      <c r="C1643" s="20"/>
    </row>
    <row r="1644">
      <c r="C1644" s="20"/>
    </row>
    <row r="1645">
      <c r="C1645" s="20"/>
    </row>
    <row r="1646">
      <c r="C1646" s="20"/>
    </row>
    <row r="1647">
      <c r="C1647" s="20"/>
    </row>
    <row r="1648">
      <c r="C1648" s="20"/>
    </row>
    <row r="1649">
      <c r="C1649" s="20"/>
    </row>
    <row r="1650">
      <c r="C1650" s="20"/>
    </row>
    <row r="1651">
      <c r="C1651" s="20"/>
    </row>
    <row r="1652">
      <c r="C1652" s="20"/>
    </row>
    <row r="1653">
      <c r="C1653" s="20"/>
    </row>
    <row r="1654">
      <c r="C1654" s="20"/>
    </row>
    <row r="1655">
      <c r="C1655" s="20"/>
    </row>
    <row r="1656">
      <c r="C1656" s="20"/>
    </row>
    <row r="1657">
      <c r="C1657" s="20"/>
    </row>
    <row r="1658">
      <c r="C1658" s="20"/>
    </row>
    <row r="1659">
      <c r="C1659" s="20"/>
    </row>
    <row r="1660">
      <c r="C1660" s="20"/>
    </row>
    <row r="1661">
      <c r="C1661" s="20"/>
    </row>
    <row r="1662">
      <c r="C1662" s="20"/>
    </row>
    <row r="1663">
      <c r="C1663" s="20"/>
    </row>
    <row r="1664">
      <c r="C1664" s="20"/>
    </row>
    <row r="1665">
      <c r="C1665" s="20"/>
    </row>
    <row r="1666">
      <c r="C1666" s="20"/>
    </row>
    <row r="1667">
      <c r="C1667" s="20"/>
    </row>
    <row r="1668">
      <c r="C1668" s="20"/>
    </row>
    <row r="1669">
      <c r="C1669" s="20"/>
    </row>
    <row r="1670">
      <c r="C1670" s="20"/>
    </row>
    <row r="1671">
      <c r="C1671" s="20"/>
    </row>
    <row r="1672">
      <c r="C1672" s="20"/>
    </row>
    <row r="1673">
      <c r="C1673" s="20"/>
    </row>
    <row r="1674">
      <c r="C1674" s="20"/>
    </row>
    <row r="1675">
      <c r="C1675" s="20"/>
    </row>
    <row r="1676">
      <c r="C1676" s="20"/>
    </row>
    <row r="1677">
      <c r="C1677" s="20"/>
    </row>
    <row r="1678">
      <c r="C1678" s="20"/>
    </row>
    <row r="1679">
      <c r="C1679" s="20"/>
    </row>
    <row r="1680">
      <c r="C1680" s="20"/>
    </row>
    <row r="1681">
      <c r="C1681" s="20"/>
    </row>
    <row r="1682">
      <c r="C1682" s="20"/>
    </row>
    <row r="1683">
      <c r="C1683" s="20"/>
    </row>
    <row r="1684">
      <c r="C1684" s="20"/>
    </row>
    <row r="1685">
      <c r="C1685" s="20"/>
    </row>
    <row r="1686">
      <c r="C1686" s="20"/>
    </row>
    <row r="1687">
      <c r="C1687" s="20"/>
    </row>
    <row r="1688">
      <c r="C1688" s="20"/>
    </row>
    <row r="1689">
      <c r="C1689" s="20"/>
    </row>
    <row r="1690">
      <c r="C1690" s="20"/>
    </row>
    <row r="1691">
      <c r="C1691" s="20"/>
    </row>
    <row r="1692">
      <c r="C1692" s="20"/>
    </row>
    <row r="1693">
      <c r="C1693" s="20"/>
    </row>
    <row r="1694">
      <c r="C1694" s="20"/>
    </row>
    <row r="1695">
      <c r="C1695" s="20"/>
    </row>
    <row r="1696">
      <c r="C1696" s="20"/>
    </row>
    <row r="1697">
      <c r="C1697" s="20"/>
    </row>
    <row r="1698">
      <c r="C1698" s="20"/>
    </row>
    <row r="1699">
      <c r="C1699" s="20"/>
    </row>
    <row r="1700">
      <c r="C1700" s="20"/>
    </row>
    <row r="1701">
      <c r="C1701" s="20"/>
    </row>
    <row r="1702">
      <c r="C1702" s="20"/>
    </row>
    <row r="1703">
      <c r="C1703" s="20"/>
    </row>
    <row r="1704">
      <c r="C1704" s="20"/>
    </row>
    <row r="1705">
      <c r="C1705" s="20"/>
    </row>
    <row r="1706">
      <c r="C1706" s="20"/>
    </row>
    <row r="1707">
      <c r="C1707" s="20"/>
    </row>
    <row r="1708">
      <c r="C1708" s="20"/>
    </row>
    <row r="1709">
      <c r="C1709" s="20"/>
    </row>
    <row r="1710">
      <c r="C1710" s="20"/>
    </row>
    <row r="1711">
      <c r="C1711" s="20"/>
    </row>
    <row r="1712">
      <c r="C1712" s="20"/>
    </row>
    <row r="1713">
      <c r="C1713" s="20"/>
    </row>
    <row r="1714">
      <c r="C1714" s="20"/>
    </row>
    <row r="1715">
      <c r="C1715" s="20"/>
    </row>
    <row r="1716">
      <c r="C1716" s="20"/>
    </row>
    <row r="1717">
      <c r="C1717" s="20"/>
    </row>
    <row r="1718">
      <c r="C1718" s="20"/>
    </row>
    <row r="1719">
      <c r="C1719" s="20"/>
    </row>
    <row r="1720">
      <c r="C1720" s="20"/>
    </row>
    <row r="1721">
      <c r="C1721" s="20"/>
    </row>
    <row r="1722">
      <c r="C1722" s="20"/>
    </row>
    <row r="1723">
      <c r="C1723" s="20"/>
    </row>
    <row r="1724">
      <c r="C1724" s="20"/>
    </row>
    <row r="1725">
      <c r="C1725" s="20"/>
    </row>
    <row r="1726">
      <c r="C1726" s="20"/>
    </row>
    <row r="1727">
      <c r="C1727" s="20"/>
    </row>
    <row r="1728">
      <c r="C1728" s="20"/>
    </row>
    <row r="1729">
      <c r="C1729" s="20"/>
    </row>
    <row r="1730">
      <c r="C1730" s="20"/>
    </row>
    <row r="1731">
      <c r="C1731" s="20"/>
    </row>
    <row r="1732">
      <c r="C1732" s="20"/>
    </row>
    <row r="1733">
      <c r="C1733" s="20"/>
    </row>
    <row r="1734">
      <c r="C1734" s="20"/>
    </row>
    <row r="1735">
      <c r="C1735" s="20"/>
    </row>
    <row r="1736">
      <c r="C1736" s="20"/>
    </row>
    <row r="1737">
      <c r="C1737" s="20"/>
    </row>
    <row r="1738">
      <c r="C1738" s="20"/>
    </row>
    <row r="1739">
      <c r="C1739" s="20"/>
    </row>
    <row r="1740">
      <c r="C1740" s="20"/>
    </row>
    <row r="1741">
      <c r="C1741" s="20"/>
    </row>
    <row r="1742">
      <c r="C1742" s="20"/>
    </row>
    <row r="1743">
      <c r="C1743" s="20"/>
    </row>
    <row r="1744">
      <c r="C1744" s="20"/>
    </row>
    <row r="1745">
      <c r="C1745" s="20"/>
    </row>
    <row r="1746">
      <c r="C1746" s="20"/>
    </row>
    <row r="1747">
      <c r="C1747" s="20"/>
    </row>
    <row r="1748">
      <c r="C1748" s="20"/>
    </row>
    <row r="1749">
      <c r="C1749" s="20"/>
    </row>
    <row r="1750">
      <c r="C1750" s="20"/>
    </row>
    <row r="1751">
      <c r="C1751" s="20"/>
    </row>
    <row r="1752">
      <c r="C1752" s="20"/>
    </row>
    <row r="1753">
      <c r="C1753" s="20"/>
    </row>
    <row r="1754">
      <c r="C1754" s="20"/>
    </row>
    <row r="1755">
      <c r="C1755" s="20"/>
    </row>
    <row r="1756">
      <c r="C1756" s="20"/>
    </row>
    <row r="1757">
      <c r="C1757" s="20"/>
    </row>
    <row r="1758">
      <c r="C1758" s="20"/>
    </row>
    <row r="1759">
      <c r="C1759" s="20"/>
    </row>
    <row r="1760">
      <c r="C1760" s="20"/>
    </row>
    <row r="1761">
      <c r="C1761" s="20"/>
    </row>
    <row r="1762">
      <c r="C1762" s="20"/>
    </row>
    <row r="1763">
      <c r="C1763" s="20"/>
    </row>
    <row r="1764">
      <c r="C1764" s="20"/>
    </row>
    <row r="1765">
      <c r="C1765" s="20"/>
    </row>
    <row r="1766">
      <c r="C1766" s="20"/>
    </row>
    <row r="1767">
      <c r="C1767" s="20"/>
    </row>
    <row r="1768">
      <c r="C1768" s="20"/>
    </row>
    <row r="1769">
      <c r="C1769" s="20"/>
    </row>
    <row r="1770">
      <c r="C1770" s="20"/>
    </row>
    <row r="1771">
      <c r="C1771" s="20"/>
    </row>
    <row r="1772">
      <c r="C1772" s="20"/>
    </row>
    <row r="1773">
      <c r="C1773" s="20"/>
    </row>
    <row r="1774">
      <c r="C1774" s="20"/>
    </row>
    <row r="1775">
      <c r="C1775" s="20"/>
    </row>
    <row r="1776">
      <c r="C1776" s="20"/>
    </row>
    <row r="1777">
      <c r="C1777" s="20"/>
    </row>
    <row r="1778">
      <c r="C1778" s="20"/>
    </row>
    <row r="1779">
      <c r="C1779" s="20"/>
    </row>
    <row r="1780">
      <c r="C1780" s="20"/>
    </row>
    <row r="1781">
      <c r="C1781" s="20"/>
    </row>
    <row r="1782">
      <c r="C1782" s="20"/>
    </row>
    <row r="1783">
      <c r="C1783" s="20"/>
    </row>
    <row r="1784">
      <c r="C1784" s="20"/>
    </row>
    <row r="1785">
      <c r="C1785" s="20"/>
    </row>
    <row r="1786">
      <c r="C1786" s="20"/>
    </row>
    <row r="1787">
      <c r="C1787" s="20"/>
    </row>
    <row r="1788">
      <c r="C1788" s="20"/>
    </row>
    <row r="1789">
      <c r="C1789" s="20"/>
    </row>
    <row r="1790">
      <c r="C1790" s="20"/>
    </row>
    <row r="1791">
      <c r="C1791" s="20"/>
    </row>
    <row r="1792">
      <c r="C1792" s="20"/>
    </row>
    <row r="1793">
      <c r="C1793" s="20"/>
    </row>
    <row r="1794">
      <c r="C1794" s="20"/>
    </row>
    <row r="1795">
      <c r="C1795" s="20"/>
    </row>
    <row r="1796">
      <c r="C1796" s="20"/>
    </row>
    <row r="1797">
      <c r="C1797" s="20"/>
    </row>
    <row r="1798">
      <c r="C1798" s="20"/>
    </row>
    <row r="1799">
      <c r="C1799" s="20"/>
    </row>
    <row r="1800">
      <c r="C1800" s="20"/>
    </row>
    <row r="1801">
      <c r="C1801" s="20"/>
    </row>
    <row r="1802">
      <c r="C1802" s="20"/>
    </row>
    <row r="1803">
      <c r="C1803" s="20"/>
    </row>
    <row r="1804">
      <c r="C1804" s="20"/>
    </row>
    <row r="1805">
      <c r="C1805" s="20"/>
    </row>
    <row r="1806">
      <c r="C1806" s="20"/>
    </row>
    <row r="1807">
      <c r="C1807" s="20"/>
    </row>
    <row r="1808">
      <c r="C1808" s="20"/>
    </row>
    <row r="1809">
      <c r="C1809" s="20"/>
    </row>
    <row r="1810">
      <c r="C1810" s="20"/>
    </row>
    <row r="1811">
      <c r="C1811" s="20"/>
    </row>
    <row r="1812">
      <c r="C1812" s="20"/>
    </row>
    <row r="1813">
      <c r="C1813" s="20"/>
    </row>
    <row r="1814">
      <c r="C1814" s="20"/>
    </row>
    <row r="1815">
      <c r="C1815" s="20"/>
    </row>
    <row r="1816">
      <c r="C1816" s="20"/>
    </row>
    <row r="1817">
      <c r="C1817" s="20"/>
    </row>
    <row r="1818">
      <c r="C1818" s="20"/>
    </row>
    <row r="1819">
      <c r="C1819" s="20"/>
    </row>
    <row r="1820">
      <c r="C1820" s="20"/>
    </row>
    <row r="1821">
      <c r="C1821" s="20"/>
    </row>
    <row r="1822">
      <c r="C1822" s="20"/>
    </row>
    <row r="1823">
      <c r="C1823" s="20"/>
    </row>
    <row r="1824">
      <c r="C1824" s="20"/>
    </row>
    <row r="1825">
      <c r="C1825" s="20"/>
    </row>
    <row r="1826">
      <c r="C1826" s="20"/>
    </row>
    <row r="1827">
      <c r="C1827" s="20"/>
    </row>
    <row r="1828">
      <c r="C1828" s="20"/>
    </row>
    <row r="1829">
      <c r="C1829" s="20"/>
    </row>
    <row r="1830">
      <c r="C1830" s="20"/>
    </row>
    <row r="1831">
      <c r="C1831" s="20"/>
    </row>
    <row r="1832">
      <c r="C1832" s="20"/>
    </row>
    <row r="1833">
      <c r="C1833" s="20"/>
    </row>
    <row r="1834">
      <c r="C1834" s="20"/>
    </row>
    <row r="1835">
      <c r="C1835" s="20"/>
    </row>
    <row r="1836">
      <c r="C1836" s="20"/>
    </row>
    <row r="1837">
      <c r="C1837" s="20"/>
    </row>
    <row r="1838">
      <c r="C1838" s="20"/>
    </row>
    <row r="1839">
      <c r="C1839" s="20"/>
    </row>
    <row r="1840">
      <c r="C1840" s="20"/>
    </row>
    <row r="1841">
      <c r="C1841" s="20"/>
    </row>
    <row r="1842">
      <c r="C1842" s="20"/>
    </row>
    <row r="1843">
      <c r="C1843" s="20"/>
    </row>
    <row r="1844">
      <c r="C1844" s="20"/>
    </row>
    <row r="1845">
      <c r="C1845" s="20"/>
    </row>
    <row r="1846">
      <c r="C1846" s="20"/>
    </row>
    <row r="1847">
      <c r="C1847" s="20"/>
    </row>
    <row r="1848">
      <c r="C1848" s="20"/>
    </row>
    <row r="1849">
      <c r="C1849" s="20"/>
    </row>
    <row r="1850">
      <c r="C1850" s="20"/>
    </row>
    <row r="1851">
      <c r="C1851" s="20"/>
    </row>
    <row r="1852">
      <c r="C1852" s="20"/>
    </row>
    <row r="1853">
      <c r="C1853" s="20"/>
    </row>
    <row r="1854">
      <c r="C1854" s="20"/>
    </row>
    <row r="1855">
      <c r="C1855" s="20"/>
    </row>
    <row r="1856">
      <c r="C1856" s="20"/>
    </row>
    <row r="1857">
      <c r="C1857" s="20"/>
    </row>
    <row r="1858">
      <c r="C1858" s="20"/>
    </row>
    <row r="1859">
      <c r="C1859" s="20"/>
    </row>
    <row r="1860">
      <c r="C1860" s="20"/>
    </row>
    <row r="1861">
      <c r="C1861" s="20"/>
    </row>
    <row r="1862">
      <c r="C1862" s="20"/>
    </row>
    <row r="1863">
      <c r="C1863" s="20"/>
    </row>
    <row r="1864">
      <c r="C1864" s="20"/>
    </row>
    <row r="1865">
      <c r="C1865" s="20"/>
    </row>
    <row r="1866">
      <c r="C1866" s="20"/>
    </row>
    <row r="1867">
      <c r="C1867" s="20"/>
    </row>
    <row r="1868">
      <c r="C1868" s="20"/>
    </row>
    <row r="1869">
      <c r="C1869" s="20"/>
    </row>
    <row r="1870">
      <c r="C1870" s="20"/>
    </row>
    <row r="1871">
      <c r="C1871" s="20"/>
    </row>
    <row r="1872">
      <c r="C1872" s="20"/>
    </row>
    <row r="1873">
      <c r="C1873" s="20"/>
    </row>
    <row r="1874">
      <c r="C1874" s="20"/>
    </row>
    <row r="1875">
      <c r="C1875" s="20"/>
    </row>
    <row r="1876">
      <c r="C1876" s="20"/>
    </row>
    <row r="1877">
      <c r="C1877" s="20"/>
    </row>
    <row r="1878">
      <c r="C1878" s="20"/>
    </row>
    <row r="1879">
      <c r="C1879" s="20"/>
    </row>
    <row r="1880">
      <c r="C1880" s="20"/>
    </row>
    <row r="1881">
      <c r="C1881" s="20"/>
    </row>
    <row r="1882">
      <c r="C1882" s="20"/>
    </row>
    <row r="1883">
      <c r="C1883" s="20"/>
    </row>
    <row r="1884">
      <c r="C1884" s="20"/>
    </row>
    <row r="1885">
      <c r="C1885" s="20"/>
    </row>
    <row r="1886">
      <c r="C1886" s="20"/>
    </row>
    <row r="1887">
      <c r="C1887" s="20"/>
    </row>
    <row r="1888">
      <c r="C1888" s="20"/>
    </row>
    <row r="1889">
      <c r="C1889" s="20"/>
    </row>
    <row r="1890">
      <c r="C1890" s="20"/>
    </row>
    <row r="1891">
      <c r="C1891" s="20"/>
    </row>
    <row r="1892">
      <c r="C1892" s="20"/>
    </row>
    <row r="1893">
      <c r="C1893" s="20"/>
    </row>
    <row r="1894">
      <c r="C1894" s="20"/>
    </row>
    <row r="1895">
      <c r="C1895" s="20"/>
    </row>
    <row r="1896">
      <c r="C1896" s="20"/>
    </row>
    <row r="1897">
      <c r="C1897" s="20"/>
    </row>
    <row r="1898">
      <c r="C1898" s="20"/>
    </row>
    <row r="1899">
      <c r="C1899" s="20"/>
    </row>
    <row r="1900">
      <c r="C1900" s="20"/>
    </row>
    <row r="1901">
      <c r="C1901" s="20"/>
    </row>
    <row r="1902">
      <c r="C1902" s="20"/>
    </row>
    <row r="1903">
      <c r="C1903" s="20"/>
    </row>
    <row r="1904">
      <c r="C1904" s="20"/>
    </row>
    <row r="1905">
      <c r="C1905" s="20"/>
    </row>
    <row r="1906">
      <c r="C1906" s="20"/>
    </row>
    <row r="1907">
      <c r="C1907" s="20"/>
    </row>
    <row r="1908">
      <c r="C1908" s="20"/>
    </row>
    <row r="1909">
      <c r="C1909" s="20"/>
    </row>
    <row r="1910">
      <c r="C1910" s="20"/>
    </row>
    <row r="1911">
      <c r="C1911" s="20"/>
    </row>
    <row r="1912">
      <c r="C1912" s="20"/>
    </row>
    <row r="1913">
      <c r="C1913" s="20"/>
    </row>
    <row r="1914">
      <c r="C1914" s="20"/>
    </row>
    <row r="1915">
      <c r="C1915" s="20"/>
    </row>
    <row r="1916">
      <c r="C1916" s="20"/>
    </row>
    <row r="1917">
      <c r="C1917" s="20"/>
    </row>
    <row r="1918">
      <c r="C1918" s="20"/>
    </row>
    <row r="1919">
      <c r="C1919" s="20"/>
    </row>
    <row r="1920">
      <c r="C1920" s="20"/>
    </row>
    <row r="1921">
      <c r="C1921" s="20"/>
    </row>
    <row r="1922">
      <c r="C1922" s="20"/>
    </row>
    <row r="1923">
      <c r="C1923" s="20"/>
    </row>
    <row r="1924">
      <c r="C1924" s="20"/>
    </row>
    <row r="1925">
      <c r="C1925" s="20"/>
    </row>
    <row r="1926">
      <c r="C1926" s="20"/>
    </row>
    <row r="1927">
      <c r="C1927" s="20"/>
    </row>
    <row r="1928">
      <c r="C1928" s="20"/>
    </row>
    <row r="1929">
      <c r="C1929" s="20"/>
    </row>
    <row r="1930">
      <c r="C1930" s="20"/>
    </row>
    <row r="1931">
      <c r="C1931" s="20"/>
    </row>
    <row r="1932">
      <c r="C1932" s="20"/>
    </row>
    <row r="1933">
      <c r="C1933" s="20"/>
    </row>
    <row r="1934">
      <c r="C1934" s="20"/>
    </row>
    <row r="1935">
      <c r="C1935" s="20"/>
    </row>
    <row r="1936">
      <c r="C1936" s="20"/>
    </row>
    <row r="1937">
      <c r="C1937" s="20"/>
    </row>
    <row r="1938">
      <c r="C1938" s="20"/>
    </row>
    <row r="1939">
      <c r="C1939" s="20"/>
    </row>
    <row r="1940">
      <c r="C1940" s="20"/>
    </row>
    <row r="1941">
      <c r="C1941" s="20"/>
    </row>
    <row r="1942">
      <c r="C1942" s="20"/>
    </row>
    <row r="1943">
      <c r="C1943" s="20"/>
    </row>
    <row r="1944">
      <c r="C1944" s="20"/>
    </row>
    <row r="1945">
      <c r="C1945" s="20"/>
    </row>
    <row r="1946">
      <c r="C1946" s="20"/>
    </row>
    <row r="1947">
      <c r="C1947" s="20"/>
    </row>
    <row r="1948">
      <c r="C1948" s="20"/>
    </row>
    <row r="1949">
      <c r="C1949" s="20"/>
    </row>
    <row r="1950">
      <c r="C1950" s="20"/>
    </row>
    <row r="1951">
      <c r="C1951" s="20"/>
    </row>
    <row r="1952">
      <c r="C1952" s="20"/>
    </row>
    <row r="1953">
      <c r="C1953" s="20"/>
    </row>
    <row r="1954">
      <c r="C1954" s="20"/>
    </row>
    <row r="1955">
      <c r="C1955" s="20"/>
    </row>
    <row r="1956">
      <c r="C1956" s="20"/>
    </row>
    <row r="1957">
      <c r="C1957" s="20"/>
    </row>
    <row r="1958">
      <c r="C1958" s="20"/>
    </row>
    <row r="1959">
      <c r="C1959" s="20"/>
    </row>
    <row r="1960">
      <c r="C1960" s="20"/>
    </row>
    <row r="1961">
      <c r="C1961" s="20"/>
    </row>
    <row r="1962">
      <c r="C1962" s="20"/>
    </row>
    <row r="1963">
      <c r="C1963" s="20"/>
    </row>
    <row r="1964">
      <c r="C1964" s="20"/>
    </row>
    <row r="1965">
      <c r="C1965" s="20"/>
    </row>
    <row r="1966">
      <c r="C1966" s="20"/>
    </row>
    <row r="1967">
      <c r="C1967" s="20"/>
    </row>
    <row r="1968">
      <c r="C1968" s="20"/>
    </row>
    <row r="1969">
      <c r="C1969" s="20"/>
    </row>
    <row r="1970">
      <c r="C1970" s="20"/>
    </row>
    <row r="1971">
      <c r="C1971" s="20"/>
    </row>
    <row r="1972">
      <c r="C1972" s="20"/>
    </row>
    <row r="1973">
      <c r="C1973" s="20"/>
    </row>
    <row r="1974">
      <c r="C1974" s="20"/>
    </row>
    <row r="1975">
      <c r="C1975" s="20"/>
    </row>
    <row r="1976">
      <c r="C1976" s="20"/>
    </row>
    <row r="1977">
      <c r="C1977" s="20"/>
    </row>
    <row r="1978">
      <c r="C1978" s="20"/>
    </row>
    <row r="1979">
      <c r="C1979" s="20"/>
    </row>
    <row r="1980">
      <c r="C1980" s="20"/>
    </row>
    <row r="1981">
      <c r="C1981" s="20"/>
    </row>
    <row r="1982">
      <c r="C1982" s="20"/>
    </row>
    <row r="1983">
      <c r="C1983" s="20"/>
    </row>
    <row r="1984">
      <c r="C1984" s="20"/>
    </row>
    <row r="1985">
      <c r="C1985" s="20"/>
    </row>
    <row r="1986">
      <c r="C1986" s="20"/>
    </row>
    <row r="1987">
      <c r="C1987" s="20"/>
    </row>
  </sheetData>
  <autoFilter ref="$C$1:$C$987">
    <filterColumn colId="0">
      <filters blank="1">
        <filter val="01/07/2026"/>
        <filter val="30/06/2026"/>
        <filter val="02/07/2026"/>
      </filters>
    </filterColumn>
  </autoFilter>
  <conditionalFormatting sqref="B133">
    <cfRule type="notContainsBlanks" dxfId="0" priority="1">
      <formula>LEN(TRIM(B133))&gt;0</formula>
    </cfRule>
  </conditionalFormatting>
  <hyperlinks>
    <hyperlink r:id="rId1" ref="B30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21" t="s">
        <v>343</v>
      </c>
      <c r="B1" s="11" t="s">
        <v>344</v>
      </c>
      <c r="C1" s="11" t="s">
        <v>345</v>
      </c>
      <c r="D1" s="11" t="s">
        <v>346</v>
      </c>
    </row>
    <row r="2">
      <c r="A2" s="21">
        <v>45992.0</v>
      </c>
      <c r="B2" s="22">
        <f>SUMIF(Reservas!C:C,A2,Reservas!G:G)</f>
        <v>0</v>
      </c>
      <c r="C2" s="22">
        <f t="shared" ref="C2:C136" si="1">(70-B2)+D2</f>
        <v>70</v>
      </c>
      <c r="D2" s="22">
        <f>SUMIF(Reservas!C:C,A2,Reservas!I:I)</f>
        <v>0</v>
      </c>
    </row>
    <row r="3">
      <c r="A3" s="21">
        <v>45993.0</v>
      </c>
      <c r="B3" s="22">
        <f>SUMIF(Reservas!C:C,A3,Reservas!G:G)</f>
        <v>45</v>
      </c>
      <c r="C3" s="22">
        <f t="shared" si="1"/>
        <v>70</v>
      </c>
      <c r="D3" s="22">
        <f>SUMIF(Reservas!C:C,A3,Reservas!I:I)</f>
        <v>45</v>
      </c>
    </row>
    <row r="4">
      <c r="A4" s="21">
        <v>45994.0</v>
      </c>
      <c r="B4" s="22">
        <f>SUMIF(Reservas!C:C,A4,Reservas!G:G)</f>
        <v>44</v>
      </c>
      <c r="C4" s="22">
        <f t="shared" si="1"/>
        <v>42</v>
      </c>
      <c r="D4" s="22">
        <f>SUMIF(Reservas!C:C,A4,Reservas!I:I)</f>
        <v>16</v>
      </c>
    </row>
    <row r="5">
      <c r="A5" s="21">
        <v>45995.0</v>
      </c>
      <c r="B5" s="22">
        <f>SUMIF(Reservas!C:C,A5,Reservas!G:G)</f>
        <v>57</v>
      </c>
      <c r="C5" s="22">
        <f t="shared" si="1"/>
        <v>23</v>
      </c>
      <c r="D5" s="22">
        <f>SUMIF(Reservas!C:C,A5,Reservas!I:I)</f>
        <v>10</v>
      </c>
    </row>
    <row r="6">
      <c r="A6" s="21">
        <v>45996.0</v>
      </c>
      <c r="B6" s="22">
        <f>SUMIF(Reservas!C:C,A6,Reservas!G:G)</f>
        <v>44</v>
      </c>
      <c r="C6" s="22">
        <f t="shared" si="1"/>
        <v>28</v>
      </c>
      <c r="D6" s="22">
        <f>SUMIF(Reservas!C:C,A6,Reservas!I:I)</f>
        <v>2</v>
      </c>
    </row>
    <row r="7">
      <c r="A7" s="21">
        <v>45997.0</v>
      </c>
      <c r="B7" s="22">
        <f>SUMIF(Reservas!C:C,A7,Reservas!G:G)</f>
        <v>0</v>
      </c>
      <c r="C7" s="22">
        <f t="shared" si="1"/>
        <v>70</v>
      </c>
      <c r="D7" s="22">
        <f>SUMIF(Reservas!C:C,A7,Reservas!I:I)</f>
        <v>0</v>
      </c>
    </row>
    <row r="8">
      <c r="A8" s="21">
        <v>45998.0</v>
      </c>
      <c r="B8" s="22">
        <f>SUMIF(Reservas!C:C,A8,Reservas!G:G)</f>
        <v>0</v>
      </c>
      <c r="C8" s="22">
        <f t="shared" si="1"/>
        <v>70</v>
      </c>
      <c r="D8" s="22">
        <f>SUMIF(Reservas!C:C,A8,Reservas!I:I)</f>
        <v>0</v>
      </c>
    </row>
    <row r="9">
      <c r="A9" s="21">
        <v>45999.0</v>
      </c>
      <c r="B9" s="22">
        <f>SUMIF(Reservas!C:C,A9,Reservas!G:G)</f>
        <v>91</v>
      </c>
      <c r="C9" s="22">
        <f t="shared" si="1"/>
        <v>70</v>
      </c>
      <c r="D9" s="22">
        <f>SUMIF(Reservas!C:C,A9,Reservas!I:I)</f>
        <v>91</v>
      </c>
    </row>
    <row r="10">
      <c r="A10" s="21">
        <v>46000.0</v>
      </c>
      <c r="B10" s="22">
        <f>SUMIF(Reservas!C:C,A10,Reservas!G:G)</f>
        <v>47</v>
      </c>
      <c r="C10" s="22">
        <f t="shared" si="1"/>
        <v>70</v>
      </c>
      <c r="D10" s="22">
        <f>SUMIF(Reservas!C:C,A10,Reservas!I:I)</f>
        <v>47</v>
      </c>
    </row>
    <row r="11">
      <c r="A11" s="21">
        <v>46001.0</v>
      </c>
      <c r="B11" s="22">
        <f>SUMIF(Reservas!C:C,A11,Reservas!G:G)</f>
        <v>89</v>
      </c>
      <c r="C11" s="22">
        <f t="shared" si="1"/>
        <v>-17</v>
      </c>
      <c r="D11" s="22">
        <f>SUMIF(Reservas!C:C,A11,Reservas!I:I)</f>
        <v>2</v>
      </c>
    </row>
    <row r="12">
      <c r="A12" s="21">
        <v>46002.0</v>
      </c>
      <c r="B12" s="22">
        <f>SUMIF(Reservas!C:C,A12,Reservas!G:G)</f>
        <v>57</v>
      </c>
      <c r="C12" s="22">
        <f t="shared" si="1"/>
        <v>25</v>
      </c>
      <c r="D12" s="22">
        <f>SUMIF(Reservas!C:C,A12,Reservas!I:I)</f>
        <v>12</v>
      </c>
    </row>
    <row r="13">
      <c r="A13" s="21">
        <v>46003.0</v>
      </c>
      <c r="B13" s="22">
        <f>SUMIF(Reservas!C:C,A13,Reservas!G:G)</f>
        <v>14</v>
      </c>
      <c r="C13" s="22">
        <f t="shared" si="1"/>
        <v>56</v>
      </c>
      <c r="D13" s="22">
        <f>SUMIF(Reservas!C:C,A13,Reservas!I:I)</f>
        <v>0</v>
      </c>
    </row>
    <row r="14">
      <c r="A14" s="21">
        <v>46004.0</v>
      </c>
      <c r="B14" s="22">
        <f>SUMIF(Reservas!C:C,A14,Reservas!G:G)</f>
        <v>0</v>
      </c>
      <c r="C14" s="22">
        <f t="shared" si="1"/>
        <v>70</v>
      </c>
      <c r="D14" s="22">
        <f>SUMIF(Reservas!C:C,A14,Reservas!I:I)</f>
        <v>0</v>
      </c>
    </row>
    <row r="15">
      <c r="A15" s="21">
        <v>46005.0</v>
      </c>
      <c r="B15" s="22">
        <f>SUMIF(Reservas!C:C,A15,Reservas!G:G)</f>
        <v>0</v>
      </c>
      <c r="C15" s="22">
        <f t="shared" si="1"/>
        <v>70</v>
      </c>
      <c r="D15" s="22">
        <f>SUMIF(Reservas!C:C,A15,Reservas!I:I)</f>
        <v>0</v>
      </c>
    </row>
    <row r="16">
      <c r="A16" s="21">
        <v>46006.0</v>
      </c>
      <c r="B16" s="22">
        <f>SUMIF(Reservas!C:C,A16,Reservas!G:G)</f>
        <v>0</v>
      </c>
      <c r="C16" s="22">
        <f t="shared" si="1"/>
        <v>70</v>
      </c>
      <c r="D16" s="22">
        <f>SUMIF(Reservas!C:C,A16,Reservas!I:I)</f>
        <v>0</v>
      </c>
    </row>
    <row r="17">
      <c r="A17" s="21">
        <v>46007.0</v>
      </c>
      <c r="B17" s="22">
        <f>SUMIF(Reservas!C:C,A17,Reservas!G:G)</f>
        <v>0</v>
      </c>
      <c r="C17" s="22">
        <f t="shared" si="1"/>
        <v>70</v>
      </c>
      <c r="D17" s="22">
        <f>SUMIF(Reservas!C:C,A17,Reservas!I:I)</f>
        <v>0</v>
      </c>
    </row>
    <row r="18">
      <c r="A18" s="21">
        <v>46008.0</v>
      </c>
      <c r="B18" s="22">
        <f>SUMIF(Reservas!C:C,A18,Reservas!G:G)</f>
        <v>0</v>
      </c>
      <c r="C18" s="22">
        <f t="shared" si="1"/>
        <v>70</v>
      </c>
      <c r="D18" s="22">
        <f>SUMIF(Reservas!C:C,A18,Reservas!I:I)</f>
        <v>0</v>
      </c>
    </row>
    <row r="19">
      <c r="A19" s="21">
        <v>46009.0</v>
      </c>
      <c r="B19" s="22">
        <f>SUMIF(Reservas!C:C,A19,Reservas!G:G)</f>
        <v>0</v>
      </c>
      <c r="C19" s="22">
        <f t="shared" si="1"/>
        <v>70</v>
      </c>
      <c r="D19" s="22">
        <f>SUMIF(Reservas!C:C,A19,Reservas!I:I)</f>
        <v>0</v>
      </c>
    </row>
    <row r="20">
      <c r="A20" s="21">
        <v>46010.0</v>
      </c>
      <c r="B20" s="22">
        <f>SUMIF(Reservas!C:C,A20,Reservas!G:G)</f>
        <v>0</v>
      </c>
      <c r="C20" s="22">
        <f t="shared" si="1"/>
        <v>70</v>
      </c>
      <c r="D20" s="22">
        <f>SUMIF(Reservas!C:C,A20,Reservas!I:I)</f>
        <v>0</v>
      </c>
    </row>
    <row r="21">
      <c r="A21" s="21">
        <v>46011.0</v>
      </c>
      <c r="B21" s="22">
        <f>SUMIF(Reservas!C:C,A21,Reservas!G:G)</f>
        <v>0</v>
      </c>
      <c r="C21" s="22">
        <f t="shared" si="1"/>
        <v>70</v>
      </c>
      <c r="D21" s="22">
        <f>SUMIF(Reservas!C:C,A21,Reservas!I:I)</f>
        <v>0</v>
      </c>
    </row>
    <row r="22">
      <c r="A22" s="21">
        <v>46012.0</v>
      </c>
      <c r="B22" s="22">
        <f>SUMIF(Reservas!C:C,A22,Reservas!G:G)</f>
        <v>0</v>
      </c>
      <c r="C22" s="22">
        <f t="shared" si="1"/>
        <v>70</v>
      </c>
      <c r="D22" s="22">
        <f>SUMIF(Reservas!C:C,A22,Reservas!I:I)</f>
        <v>0</v>
      </c>
    </row>
    <row r="23">
      <c r="A23" s="21">
        <v>46013.0</v>
      </c>
      <c r="B23" s="22">
        <f>SUMIF(Reservas!C:C,A23,Reservas!G:G)</f>
        <v>0</v>
      </c>
      <c r="C23" s="22">
        <f t="shared" si="1"/>
        <v>70</v>
      </c>
      <c r="D23" s="22">
        <f>SUMIF(Reservas!C:C,A23,Reservas!I:I)</f>
        <v>0</v>
      </c>
    </row>
    <row r="24">
      <c r="A24" s="21">
        <v>46014.0</v>
      </c>
      <c r="B24" s="22">
        <f>SUMIF(Reservas!C:C,A24,Reservas!G:G)</f>
        <v>0</v>
      </c>
      <c r="C24" s="22">
        <f t="shared" si="1"/>
        <v>70</v>
      </c>
      <c r="D24" s="22">
        <f>SUMIF(Reservas!C:C,A24,Reservas!I:I)</f>
        <v>0</v>
      </c>
    </row>
    <row r="25">
      <c r="A25" s="21">
        <v>46015.0</v>
      </c>
      <c r="B25" s="22">
        <f>SUMIF(Reservas!C:C,A25,Reservas!G:G)</f>
        <v>0</v>
      </c>
      <c r="C25" s="22">
        <f t="shared" si="1"/>
        <v>70</v>
      </c>
      <c r="D25" s="22">
        <f>SUMIF(Reservas!C:C,A25,Reservas!I:I)</f>
        <v>0</v>
      </c>
    </row>
    <row r="26">
      <c r="A26" s="21">
        <v>46016.0</v>
      </c>
      <c r="B26" s="22">
        <f>SUMIF(Reservas!C:C,A26,Reservas!G:G)</f>
        <v>0</v>
      </c>
      <c r="C26" s="22">
        <f t="shared" si="1"/>
        <v>70</v>
      </c>
      <c r="D26" s="22">
        <f>SUMIF(Reservas!C:C,A26,Reservas!I:I)</f>
        <v>0</v>
      </c>
    </row>
    <row r="27">
      <c r="A27" s="21">
        <v>46017.0</v>
      </c>
      <c r="B27" s="22">
        <f>SUMIF(Reservas!C:C,A27,Reservas!G:G)</f>
        <v>0</v>
      </c>
      <c r="C27" s="22">
        <f t="shared" si="1"/>
        <v>70</v>
      </c>
      <c r="D27" s="22">
        <f>SUMIF(Reservas!C:C,A27,Reservas!I:I)</f>
        <v>0</v>
      </c>
    </row>
    <row r="28">
      <c r="A28" s="21">
        <v>46018.0</v>
      </c>
      <c r="B28" s="22">
        <f>SUMIF(Reservas!C:C,A28,Reservas!G:G)</f>
        <v>0</v>
      </c>
      <c r="C28" s="22">
        <f t="shared" si="1"/>
        <v>70</v>
      </c>
      <c r="D28" s="22">
        <f>SUMIF(Reservas!C:C,A28,Reservas!I:I)</f>
        <v>0</v>
      </c>
    </row>
    <row r="29">
      <c r="A29" s="21">
        <v>46019.0</v>
      </c>
      <c r="B29" s="22">
        <f>SUMIF(Reservas!C:C,A29,Reservas!G:G)</f>
        <v>0</v>
      </c>
      <c r="C29" s="22">
        <f t="shared" si="1"/>
        <v>70</v>
      </c>
      <c r="D29" s="22">
        <f>SUMIF(Reservas!C:C,A29,Reservas!I:I)</f>
        <v>0</v>
      </c>
    </row>
    <row r="30">
      <c r="A30" s="21">
        <v>46020.0</v>
      </c>
      <c r="B30" s="22">
        <f>SUMIF(Reservas!C:C,A30,Reservas!G:G)</f>
        <v>0</v>
      </c>
      <c r="C30" s="22">
        <f t="shared" si="1"/>
        <v>70</v>
      </c>
      <c r="D30" s="22">
        <f>SUMIF(Reservas!C:C,A30,Reservas!I:I)</f>
        <v>0</v>
      </c>
    </row>
    <row r="31">
      <c r="A31" s="21">
        <v>46021.0</v>
      </c>
      <c r="B31" s="22">
        <f>SUMIF(Reservas!C:C,A31,Reservas!G:G)</f>
        <v>0</v>
      </c>
      <c r="C31" s="22">
        <f t="shared" si="1"/>
        <v>70</v>
      </c>
      <c r="D31" s="22">
        <f>SUMIF(Reservas!C:C,A31,Reservas!I:I)</f>
        <v>0</v>
      </c>
    </row>
    <row r="32">
      <c r="A32" s="21">
        <v>46022.0</v>
      </c>
      <c r="B32" s="22">
        <f>SUMIF(Reservas!C:C,A32,Reservas!G:G)</f>
        <v>0</v>
      </c>
      <c r="C32" s="22">
        <f t="shared" si="1"/>
        <v>70</v>
      </c>
      <c r="D32" s="22">
        <f>SUMIF(Reservas!C:C,A32,Reservas!I:I)</f>
        <v>0</v>
      </c>
    </row>
    <row r="33">
      <c r="A33" s="21">
        <v>46023.0</v>
      </c>
      <c r="B33" s="22">
        <f>SUMIF(Reservas!C:C,A33,Reservas!G:G)</f>
        <v>0</v>
      </c>
      <c r="C33" s="22">
        <f t="shared" si="1"/>
        <v>70</v>
      </c>
      <c r="D33" s="22">
        <f>SUMIF(Reservas!C:C,A33,Reservas!I:I)</f>
        <v>0</v>
      </c>
    </row>
    <row r="34">
      <c r="A34" s="21">
        <v>46024.0</v>
      </c>
      <c r="B34" s="22">
        <f>SUMIF(Reservas!C:C,A34,Reservas!G:G)</f>
        <v>0</v>
      </c>
      <c r="C34" s="22">
        <f t="shared" si="1"/>
        <v>70</v>
      </c>
      <c r="D34" s="22">
        <f>SUMIF(Reservas!C:C,A34,Reservas!I:I)</f>
        <v>0</v>
      </c>
    </row>
    <row r="35">
      <c r="A35" s="21">
        <v>46025.0</v>
      </c>
      <c r="B35" s="22">
        <f>SUMIF(Reservas!C:C,A35,Reservas!G:G)</f>
        <v>0</v>
      </c>
      <c r="C35" s="22">
        <f t="shared" si="1"/>
        <v>70</v>
      </c>
      <c r="D35" s="22">
        <f>SUMIF(Reservas!C:C,A35,Reservas!I:I)</f>
        <v>0</v>
      </c>
    </row>
    <row r="36">
      <c r="A36" s="21">
        <v>46026.0</v>
      </c>
      <c r="B36" s="22">
        <f>SUMIF(Reservas!C:C,A36,Reservas!G:G)</f>
        <v>0</v>
      </c>
      <c r="C36" s="22">
        <f t="shared" si="1"/>
        <v>70</v>
      </c>
      <c r="D36" s="22">
        <f>SUMIF(Reservas!C:C,A36,Reservas!I:I)</f>
        <v>0</v>
      </c>
    </row>
    <row r="37">
      <c r="A37" s="21">
        <v>46027.0</v>
      </c>
      <c r="B37" s="22">
        <f>SUMIF(Reservas!C:C,A37,Reservas!G:G)</f>
        <v>0</v>
      </c>
      <c r="C37" s="22">
        <f t="shared" si="1"/>
        <v>70</v>
      </c>
      <c r="D37" s="22">
        <f>SUMIF(Reservas!C:C,A37,Reservas!I:I)</f>
        <v>0</v>
      </c>
    </row>
    <row r="38">
      <c r="A38" s="21">
        <v>46028.0</v>
      </c>
      <c r="B38" s="22">
        <f>SUMIF(Reservas!C:C,A38,Reservas!G:G)</f>
        <v>0</v>
      </c>
      <c r="C38" s="22">
        <f t="shared" si="1"/>
        <v>70</v>
      </c>
      <c r="D38" s="22">
        <f>SUMIF(Reservas!C:C,A38,Reservas!I:I)</f>
        <v>0</v>
      </c>
    </row>
    <row r="39">
      <c r="A39" s="21">
        <v>46029.0</v>
      </c>
      <c r="B39" s="22">
        <f>SUMIF(Reservas!C:C,A39,Reservas!G:G)</f>
        <v>0</v>
      </c>
      <c r="C39" s="22">
        <f t="shared" si="1"/>
        <v>70</v>
      </c>
      <c r="D39" s="22">
        <f>SUMIF(Reservas!C:C,A39,Reservas!I:I)</f>
        <v>0</v>
      </c>
    </row>
    <row r="40">
      <c r="A40" s="21">
        <v>46030.0</v>
      </c>
      <c r="B40" s="22">
        <f>SUMIF(Reservas!C:C,A40,Reservas!G:G)</f>
        <v>0</v>
      </c>
      <c r="C40" s="22">
        <f t="shared" si="1"/>
        <v>70</v>
      </c>
      <c r="D40" s="22">
        <f>SUMIF(Reservas!C:C,A40,Reservas!I:I)</f>
        <v>0</v>
      </c>
    </row>
    <row r="41">
      <c r="A41" s="21">
        <v>46031.0</v>
      </c>
      <c r="B41" s="22">
        <f>SUMIF(Reservas!C:C,A41,Reservas!G:G)</f>
        <v>0</v>
      </c>
      <c r="C41" s="22">
        <f t="shared" si="1"/>
        <v>70</v>
      </c>
      <c r="D41" s="22">
        <f>SUMIF(Reservas!C:C,A41,Reservas!I:I)</f>
        <v>0</v>
      </c>
    </row>
    <row r="42">
      <c r="A42" s="21">
        <v>46032.0</v>
      </c>
      <c r="B42" s="22">
        <f>SUMIF(Reservas!C:C,A42,Reservas!G:G)</f>
        <v>0</v>
      </c>
      <c r="C42" s="22">
        <f t="shared" si="1"/>
        <v>70</v>
      </c>
      <c r="D42" s="22">
        <f>SUMIF(Reservas!C:C,A42,Reservas!I:I)</f>
        <v>0</v>
      </c>
    </row>
    <row r="43">
      <c r="A43" s="21">
        <v>46033.0</v>
      </c>
      <c r="B43" s="22">
        <f>SUMIF(Reservas!C:C,A43,Reservas!G:G)</f>
        <v>0</v>
      </c>
      <c r="C43" s="22">
        <f t="shared" si="1"/>
        <v>70</v>
      </c>
      <c r="D43" s="22">
        <f>SUMIF(Reservas!C:C,A43,Reservas!I:I)</f>
        <v>0</v>
      </c>
    </row>
    <row r="44">
      <c r="A44" s="21">
        <v>46034.0</v>
      </c>
      <c r="B44" s="22">
        <f>SUMIF(Reservas!C:C,A44,Reservas!G:G)</f>
        <v>0</v>
      </c>
      <c r="C44" s="22">
        <f t="shared" si="1"/>
        <v>70</v>
      </c>
      <c r="D44" s="22">
        <f>SUMIF(Reservas!C:C,A44,Reservas!I:I)</f>
        <v>0</v>
      </c>
    </row>
    <row r="45">
      <c r="A45" s="21">
        <v>46035.0</v>
      </c>
      <c r="B45" s="22">
        <f>SUMIF(Reservas!C:C,A45,Reservas!G:G)</f>
        <v>0</v>
      </c>
      <c r="C45" s="22">
        <f t="shared" si="1"/>
        <v>70</v>
      </c>
      <c r="D45" s="22">
        <f>SUMIF(Reservas!C:C,A45,Reservas!I:I)</f>
        <v>0</v>
      </c>
    </row>
    <row r="46">
      <c r="A46" s="21">
        <v>46036.0</v>
      </c>
      <c r="B46" s="22">
        <f>SUMIF(Reservas!C:C,A46,Reservas!G:G)</f>
        <v>0</v>
      </c>
      <c r="C46" s="22">
        <f t="shared" si="1"/>
        <v>70</v>
      </c>
      <c r="D46" s="22">
        <f>SUMIF(Reservas!C:C,A46,Reservas!I:I)</f>
        <v>0</v>
      </c>
    </row>
    <row r="47">
      <c r="A47" s="21">
        <v>46037.0</v>
      </c>
      <c r="B47" s="22">
        <f>SUMIF(Reservas!C:C,A47,Reservas!G:G)</f>
        <v>0</v>
      </c>
      <c r="C47" s="22">
        <f t="shared" si="1"/>
        <v>70</v>
      </c>
      <c r="D47" s="22">
        <f>SUMIF(Reservas!C:C,A47,Reservas!I:I)</f>
        <v>0</v>
      </c>
    </row>
    <row r="48">
      <c r="A48" s="21">
        <v>46038.0</v>
      </c>
      <c r="B48" s="22">
        <f>SUMIF(Reservas!C:C,A48,Reservas!G:G)</f>
        <v>0</v>
      </c>
      <c r="C48" s="22">
        <f t="shared" si="1"/>
        <v>70</v>
      </c>
      <c r="D48" s="22">
        <f>SUMIF(Reservas!C:C,A48,Reservas!I:I)</f>
        <v>0</v>
      </c>
    </row>
    <row r="49">
      <c r="A49" s="21">
        <v>46039.0</v>
      </c>
      <c r="B49" s="22">
        <f>SUMIF(Reservas!C:C,A49,Reservas!G:G)</f>
        <v>0</v>
      </c>
      <c r="C49" s="22">
        <f t="shared" si="1"/>
        <v>70</v>
      </c>
      <c r="D49" s="22">
        <f>SUMIF(Reservas!C:C,A49,Reservas!I:I)</f>
        <v>0</v>
      </c>
    </row>
    <row r="50">
      <c r="A50" s="21">
        <v>46040.0</v>
      </c>
      <c r="B50" s="22">
        <f>SUMIF(Reservas!C:C,A50,Reservas!G:G)</f>
        <v>0</v>
      </c>
      <c r="C50" s="22">
        <f t="shared" si="1"/>
        <v>70</v>
      </c>
      <c r="D50" s="22">
        <f>SUMIF(Reservas!C:C,A50,Reservas!I:I)</f>
        <v>0</v>
      </c>
    </row>
    <row r="51">
      <c r="A51" s="21">
        <v>46041.0</v>
      </c>
      <c r="B51" s="22">
        <f>SUMIF(Reservas!C:C,A51,Reservas!G:G)</f>
        <v>0</v>
      </c>
      <c r="C51" s="22">
        <f t="shared" si="1"/>
        <v>70</v>
      </c>
      <c r="D51" s="22">
        <f>SUMIF(Reservas!C:C,A51,Reservas!I:I)</f>
        <v>0</v>
      </c>
    </row>
    <row r="52">
      <c r="A52" s="21">
        <v>46042.0</v>
      </c>
      <c r="B52" s="22">
        <f>SUMIF(Reservas!C:C,A52,Reservas!G:G)</f>
        <v>0</v>
      </c>
      <c r="C52" s="22">
        <f t="shared" si="1"/>
        <v>70</v>
      </c>
      <c r="D52" s="22">
        <f>SUMIF(Reservas!C:C,A52,Reservas!I:I)</f>
        <v>0</v>
      </c>
    </row>
    <row r="53">
      <c r="A53" s="21">
        <v>46043.0</v>
      </c>
      <c r="B53" s="22">
        <f>SUMIF(Reservas!C:C,A53,Reservas!G:G)</f>
        <v>0</v>
      </c>
      <c r="C53" s="22">
        <f t="shared" si="1"/>
        <v>70</v>
      </c>
      <c r="D53" s="22">
        <f>SUMIF(Reservas!C:C,A53,Reservas!I:I)</f>
        <v>0</v>
      </c>
    </row>
    <row r="54">
      <c r="A54" s="21">
        <v>46044.0</v>
      </c>
      <c r="B54" s="22">
        <f>SUMIF(Reservas!C:C,A54,Reservas!G:G)</f>
        <v>0</v>
      </c>
      <c r="C54" s="22">
        <f t="shared" si="1"/>
        <v>70</v>
      </c>
      <c r="D54" s="22">
        <f>SUMIF(Reservas!C:C,A54,Reservas!I:I)</f>
        <v>0</v>
      </c>
    </row>
    <row r="55">
      <c r="A55" s="21">
        <v>46045.0</v>
      </c>
      <c r="B55" s="22">
        <f>SUMIF(Reservas!C:C,A55,Reservas!G:G)</f>
        <v>0</v>
      </c>
      <c r="C55" s="22">
        <f t="shared" si="1"/>
        <v>70</v>
      </c>
      <c r="D55" s="22">
        <f>SUMIF(Reservas!C:C,A55,Reservas!I:I)</f>
        <v>0</v>
      </c>
    </row>
    <row r="56">
      <c r="A56" s="21">
        <v>46046.0</v>
      </c>
      <c r="B56" s="22">
        <f>SUMIF(Reservas!C:C,A56,Reservas!G:G)</f>
        <v>0</v>
      </c>
      <c r="C56" s="22">
        <f t="shared" si="1"/>
        <v>70</v>
      </c>
      <c r="D56" s="22">
        <f>SUMIF(Reservas!C:C,A56,Reservas!I:I)</f>
        <v>0</v>
      </c>
    </row>
    <row r="57">
      <c r="A57" s="21">
        <v>46047.0</v>
      </c>
      <c r="B57" s="22">
        <f>SUMIF(Reservas!C:C,A57,Reservas!G:G)</f>
        <v>0</v>
      </c>
      <c r="C57" s="22">
        <f t="shared" si="1"/>
        <v>70</v>
      </c>
      <c r="D57" s="22">
        <f>SUMIF(Reservas!C:C,A57,Reservas!I:I)</f>
        <v>0</v>
      </c>
    </row>
    <row r="58">
      <c r="A58" s="21">
        <v>46048.0</v>
      </c>
      <c r="B58" s="22">
        <f>SUMIF(Reservas!C:C,A58,Reservas!G:G)</f>
        <v>0</v>
      </c>
      <c r="C58" s="22">
        <f t="shared" si="1"/>
        <v>70</v>
      </c>
      <c r="D58" s="22">
        <f>SUMIF(Reservas!C:C,A58,Reservas!I:I)</f>
        <v>0</v>
      </c>
    </row>
    <row r="59">
      <c r="A59" s="21">
        <v>46049.0</v>
      </c>
      <c r="B59" s="22">
        <f>SUMIF(Reservas!C:C,A59,Reservas!G:G)</f>
        <v>0</v>
      </c>
      <c r="C59" s="22">
        <f t="shared" si="1"/>
        <v>70</v>
      </c>
      <c r="D59" s="22">
        <f>SUMIF(Reservas!C:C,A59,Reservas!I:I)</f>
        <v>0</v>
      </c>
    </row>
    <row r="60">
      <c r="A60" s="21">
        <v>46050.0</v>
      </c>
      <c r="B60" s="22">
        <f>SUMIF(Reservas!C:C,A60,Reservas!G:G)</f>
        <v>0</v>
      </c>
      <c r="C60" s="22">
        <f t="shared" si="1"/>
        <v>70</v>
      </c>
      <c r="D60" s="22">
        <f>SUMIF(Reservas!C:C,A60,Reservas!I:I)</f>
        <v>0</v>
      </c>
    </row>
    <row r="61">
      <c r="A61" s="21">
        <v>46051.0</v>
      </c>
      <c r="B61" s="22">
        <f>SUMIF(Reservas!C:C,A61,Reservas!G:G)</f>
        <v>0</v>
      </c>
      <c r="C61" s="22">
        <f t="shared" si="1"/>
        <v>70</v>
      </c>
      <c r="D61" s="22">
        <f>SUMIF(Reservas!C:C,A61,Reservas!I:I)</f>
        <v>0</v>
      </c>
    </row>
    <row r="62">
      <c r="A62" s="21">
        <v>46052.0</v>
      </c>
      <c r="B62" s="22">
        <f>SUMIF(Reservas!C:C,A62,Reservas!G:G)</f>
        <v>0</v>
      </c>
      <c r="C62" s="22">
        <f t="shared" si="1"/>
        <v>70</v>
      </c>
      <c r="D62" s="22">
        <f>SUMIF(Reservas!C:C,A62,Reservas!I:I)</f>
        <v>0</v>
      </c>
    </row>
    <row r="63">
      <c r="A63" s="21">
        <v>46053.0</v>
      </c>
      <c r="B63" s="22">
        <f>SUMIF(Reservas!C:C,A63,Reservas!G:G)</f>
        <v>0</v>
      </c>
      <c r="C63" s="22">
        <f t="shared" si="1"/>
        <v>70</v>
      </c>
      <c r="D63" s="22">
        <f>SUMIF(Reservas!C:C,A63,Reservas!I:I)</f>
        <v>0</v>
      </c>
    </row>
    <row r="64">
      <c r="A64" s="21">
        <v>46054.0</v>
      </c>
      <c r="B64" s="22">
        <f>SUMIF(Reservas!C:C,A64,Reservas!G:G)</f>
        <v>0</v>
      </c>
      <c r="C64" s="22">
        <f t="shared" si="1"/>
        <v>70</v>
      </c>
      <c r="D64" s="22">
        <f>SUMIF(Reservas!C:C,A64,Reservas!I:I)</f>
        <v>0</v>
      </c>
    </row>
    <row r="65">
      <c r="A65" s="21">
        <v>46055.0</v>
      </c>
      <c r="B65" s="22">
        <f>SUMIF(Reservas!C:C,A65,Reservas!G:G)</f>
        <v>17</v>
      </c>
      <c r="C65" s="22">
        <f t="shared" si="1"/>
        <v>58</v>
      </c>
      <c r="D65" s="22">
        <f>SUMIF(Reservas!C:C,A65,Reservas!I:I)</f>
        <v>5</v>
      </c>
    </row>
    <row r="66">
      <c r="A66" s="21">
        <v>46056.0</v>
      </c>
      <c r="B66" s="22">
        <f>SUMIF(Reservas!C:C,A66,Reservas!G:G)</f>
        <v>54</v>
      </c>
      <c r="C66" s="22">
        <f t="shared" si="1"/>
        <v>16</v>
      </c>
      <c r="D66" s="22">
        <f>SUMIF(Reservas!C:C,A66,Reservas!I:I)</f>
        <v>0</v>
      </c>
    </row>
    <row r="67">
      <c r="A67" s="21">
        <v>46057.0</v>
      </c>
      <c r="B67" s="22">
        <f>SUMIF(Reservas!C:C,A67,Reservas!G:G)</f>
        <v>23</v>
      </c>
      <c r="C67" s="22">
        <f t="shared" si="1"/>
        <v>47</v>
      </c>
      <c r="D67" s="22">
        <f>SUMIF(Reservas!C:C,A67,Reservas!I:I)</f>
        <v>0</v>
      </c>
    </row>
    <row r="68">
      <c r="A68" s="21">
        <v>46058.0</v>
      </c>
      <c r="B68" s="22">
        <f>SUMIF(Reservas!C:C,A68,Reservas!G:G)</f>
        <v>73</v>
      </c>
      <c r="C68" s="22">
        <f t="shared" si="1"/>
        <v>21</v>
      </c>
      <c r="D68" s="22">
        <f>SUMIF(Reservas!C:C,A68,Reservas!I:I)</f>
        <v>24</v>
      </c>
    </row>
    <row r="69">
      <c r="A69" s="21">
        <v>46059.0</v>
      </c>
      <c r="B69" s="22">
        <f>SUMIF(Reservas!C:C,A69,Reservas!G:G)</f>
        <v>62</v>
      </c>
      <c r="C69" s="22">
        <f t="shared" si="1"/>
        <v>8</v>
      </c>
      <c r="D69" s="22">
        <f>SUMIF(Reservas!C:C,A69,Reservas!I:I)</f>
        <v>0</v>
      </c>
    </row>
    <row r="70">
      <c r="A70" s="21">
        <v>46060.0</v>
      </c>
      <c r="B70" s="22">
        <f>SUMIF(Reservas!C:C,A70,Reservas!G:G)</f>
        <v>0</v>
      </c>
      <c r="C70" s="22">
        <f t="shared" si="1"/>
        <v>70</v>
      </c>
      <c r="D70" s="22">
        <f>SUMIF(Reservas!C:C,A70,Reservas!I:I)</f>
        <v>0</v>
      </c>
    </row>
    <row r="71">
      <c r="A71" s="21">
        <v>46061.0</v>
      </c>
      <c r="B71" s="22">
        <f>SUMIF(Reservas!C:C,A71,Reservas!G:G)</f>
        <v>0</v>
      </c>
      <c r="C71" s="22">
        <f t="shared" si="1"/>
        <v>70</v>
      </c>
      <c r="D71" s="22">
        <f>SUMIF(Reservas!C:C,A71,Reservas!I:I)</f>
        <v>0</v>
      </c>
    </row>
    <row r="72">
      <c r="A72" s="21">
        <v>46062.0</v>
      </c>
      <c r="B72" s="22">
        <f>SUMIF(Reservas!C:C,A72,Reservas!G:G)</f>
        <v>79</v>
      </c>
      <c r="C72" s="22">
        <f t="shared" si="1"/>
        <v>-9</v>
      </c>
      <c r="D72" s="22">
        <f>SUMIF(Reservas!C:C,A72,Reservas!I:I)</f>
        <v>0</v>
      </c>
    </row>
    <row r="73">
      <c r="A73" s="21">
        <v>46063.0</v>
      </c>
      <c r="B73" s="22">
        <f>SUMIF(Reservas!C:C,A73,Reservas!G:G)</f>
        <v>59</v>
      </c>
      <c r="C73" s="22">
        <f t="shared" si="1"/>
        <v>11</v>
      </c>
      <c r="D73" s="22">
        <f>SUMIF(Reservas!C:C,A73,Reservas!I:I)</f>
        <v>0</v>
      </c>
    </row>
    <row r="74">
      <c r="A74" s="21">
        <v>46064.0</v>
      </c>
      <c r="B74" s="22">
        <f>SUMIF(Reservas!C:C,A74,Reservas!G:G)</f>
        <v>82</v>
      </c>
      <c r="C74" s="22">
        <f t="shared" si="1"/>
        <v>0</v>
      </c>
      <c r="D74" s="22">
        <f>SUMIF(Reservas!C:C,A74,Reservas!I:I)</f>
        <v>12</v>
      </c>
    </row>
    <row r="75">
      <c r="A75" s="21">
        <v>46065.0</v>
      </c>
      <c r="B75" s="22">
        <f>SUMIF(Reservas!C:C,A75,Reservas!G:G)</f>
        <v>78</v>
      </c>
      <c r="C75" s="22">
        <f t="shared" si="1"/>
        <v>16</v>
      </c>
      <c r="D75" s="22">
        <f>SUMIF(Reservas!C:C,A75,Reservas!I:I)</f>
        <v>24</v>
      </c>
    </row>
    <row r="76">
      <c r="A76" s="21">
        <v>46066.0</v>
      </c>
      <c r="B76" s="22">
        <f>SUMIF(Reservas!C:C,A76,Reservas!G:G)</f>
        <v>55</v>
      </c>
      <c r="C76" s="22">
        <f t="shared" si="1"/>
        <v>15</v>
      </c>
      <c r="D76" s="22">
        <f>SUMIF(Reservas!C:C,A76,Reservas!I:I)</f>
        <v>0</v>
      </c>
    </row>
    <row r="77">
      <c r="A77" s="21">
        <v>46067.0</v>
      </c>
      <c r="B77" s="22">
        <f>SUMIF(Reservas!C:C,A77,Reservas!G:G)</f>
        <v>0</v>
      </c>
      <c r="C77" s="22">
        <f t="shared" si="1"/>
        <v>70</v>
      </c>
      <c r="D77" s="22">
        <f>SUMIF(Reservas!C:C,A77,Reservas!I:I)</f>
        <v>0</v>
      </c>
    </row>
    <row r="78">
      <c r="A78" s="21">
        <v>46068.0</v>
      </c>
      <c r="B78" s="22">
        <f>SUMIF(Reservas!C:C,A78,Reservas!G:G)</f>
        <v>0</v>
      </c>
      <c r="C78" s="22">
        <f t="shared" si="1"/>
        <v>70</v>
      </c>
      <c r="D78" s="22">
        <f>SUMIF(Reservas!C:C,A78,Reservas!I:I)</f>
        <v>0</v>
      </c>
    </row>
    <row r="79">
      <c r="A79" s="21">
        <v>46069.0</v>
      </c>
      <c r="B79" s="22">
        <f>SUMIF(Reservas!C:C,A79,Reservas!G:G)</f>
        <v>32</v>
      </c>
      <c r="C79" s="22">
        <f t="shared" si="1"/>
        <v>38</v>
      </c>
      <c r="D79" s="22">
        <f>SUMIF(Reservas!C:C,A79,Reservas!I:I)</f>
        <v>0</v>
      </c>
    </row>
    <row r="80">
      <c r="A80" s="21">
        <v>46070.0</v>
      </c>
      <c r="B80" s="22">
        <f>SUMIF(Reservas!C:C,A80,Reservas!G:G)</f>
        <v>52</v>
      </c>
      <c r="C80" s="22">
        <f t="shared" si="1"/>
        <v>18</v>
      </c>
      <c r="D80" s="22">
        <f>SUMIF(Reservas!C:C,A80,Reservas!I:I)</f>
        <v>0</v>
      </c>
    </row>
    <row r="81">
      <c r="A81" s="21">
        <v>46071.0</v>
      </c>
      <c r="B81" s="22">
        <f>SUMIF(Reservas!C:C,A81,Reservas!G:G)</f>
        <v>14</v>
      </c>
      <c r="C81" s="22">
        <f t="shared" si="1"/>
        <v>56</v>
      </c>
      <c r="D81" s="22">
        <f>SUMIF(Reservas!C:C,A81,Reservas!I:I)</f>
        <v>0</v>
      </c>
    </row>
    <row r="82">
      <c r="A82" s="21">
        <v>46072.0</v>
      </c>
      <c r="B82" s="22">
        <f>SUMIF(Reservas!C:C,A82,Reservas!G:G)</f>
        <v>65</v>
      </c>
      <c r="C82" s="22">
        <f t="shared" si="1"/>
        <v>5</v>
      </c>
      <c r="D82" s="22">
        <f>SUMIF(Reservas!C:C,A82,Reservas!I:I)</f>
        <v>0</v>
      </c>
    </row>
    <row r="83">
      <c r="A83" s="21">
        <v>46073.0</v>
      </c>
      <c r="B83" s="22">
        <f>SUMIF(Reservas!C:C,A83,Reservas!G:G)</f>
        <v>59</v>
      </c>
      <c r="C83" s="22">
        <f t="shared" si="1"/>
        <v>11</v>
      </c>
      <c r="D83" s="22">
        <f>SUMIF(Reservas!C:C,A83,Reservas!I:I)</f>
        <v>0</v>
      </c>
    </row>
    <row r="84">
      <c r="A84" s="21">
        <v>46074.0</v>
      </c>
      <c r="B84" s="22">
        <f>SUMIF(Reservas!C:C,A84,Reservas!G:G)</f>
        <v>0</v>
      </c>
      <c r="C84" s="22">
        <f t="shared" si="1"/>
        <v>70</v>
      </c>
      <c r="D84" s="22">
        <f>SUMIF(Reservas!C:C,A84,Reservas!I:I)</f>
        <v>0</v>
      </c>
    </row>
    <row r="85">
      <c r="A85" s="21">
        <v>46075.0</v>
      </c>
      <c r="B85" s="22">
        <f>SUMIF(Reservas!C:C,A85,Reservas!G:G)</f>
        <v>0</v>
      </c>
      <c r="C85" s="22">
        <f t="shared" si="1"/>
        <v>70</v>
      </c>
      <c r="D85" s="22">
        <f>SUMIF(Reservas!C:C,A85,Reservas!I:I)</f>
        <v>0</v>
      </c>
    </row>
    <row r="86">
      <c r="A86" s="21">
        <v>46076.0</v>
      </c>
      <c r="B86" s="22">
        <f>SUMIF(Reservas!C:C,A86,Reservas!G:G)</f>
        <v>43</v>
      </c>
      <c r="C86" s="22">
        <f t="shared" si="1"/>
        <v>27</v>
      </c>
      <c r="D86" s="22">
        <f>SUMIF(Reservas!C:C,A86,Reservas!I:I)</f>
        <v>0</v>
      </c>
    </row>
    <row r="87">
      <c r="A87" s="21">
        <v>46077.0</v>
      </c>
      <c r="B87" s="22">
        <f>SUMIF(Reservas!C:C,A87,Reservas!G:G)</f>
        <v>124</v>
      </c>
      <c r="C87" s="22">
        <f t="shared" si="1"/>
        <v>-54</v>
      </c>
      <c r="D87" s="22">
        <f>SUMIF(Reservas!C:C,A87,Reservas!I:I)</f>
        <v>0</v>
      </c>
    </row>
    <row r="88">
      <c r="A88" s="21">
        <v>46078.0</v>
      </c>
      <c r="B88" s="22">
        <f>SUMIF(Reservas!C:C,A88,Reservas!G:G)</f>
        <v>46</v>
      </c>
      <c r="C88" s="22">
        <f t="shared" si="1"/>
        <v>24</v>
      </c>
      <c r="D88" s="22">
        <f>SUMIF(Reservas!C:C,A88,Reservas!I:I)</f>
        <v>0</v>
      </c>
    </row>
    <row r="89">
      <c r="A89" s="21">
        <v>46079.0</v>
      </c>
      <c r="B89" s="22">
        <f>SUMIF(Reservas!C:C,A89,Reservas!G:G)</f>
        <v>75</v>
      </c>
      <c r="C89" s="22">
        <f t="shared" si="1"/>
        <v>-5</v>
      </c>
      <c r="D89" s="22">
        <f>SUMIF(Reservas!C:C,A89,Reservas!I:I)</f>
        <v>0</v>
      </c>
    </row>
    <row r="90">
      <c r="A90" s="21">
        <v>46080.0</v>
      </c>
      <c r="B90" s="22">
        <f>SUMIF(Reservas!C:C,A90,Reservas!G:G)</f>
        <v>41</v>
      </c>
      <c r="C90" s="22">
        <f t="shared" si="1"/>
        <v>29</v>
      </c>
      <c r="D90" s="22">
        <f>SUMIF(Reservas!C:C,A90,Reservas!I:I)</f>
        <v>0</v>
      </c>
    </row>
    <row r="91">
      <c r="A91" s="21">
        <v>46081.0</v>
      </c>
      <c r="B91" s="22">
        <f>SUMIF(Reservas!C:C,A91,Reservas!G:G)</f>
        <v>0</v>
      </c>
      <c r="C91" s="22">
        <f t="shared" si="1"/>
        <v>70</v>
      </c>
      <c r="D91" s="22">
        <f>SUMIF(Reservas!C:C,A91,Reservas!I:I)</f>
        <v>0</v>
      </c>
    </row>
    <row r="92">
      <c r="A92" s="21">
        <v>46082.0</v>
      </c>
      <c r="B92" s="22">
        <f>SUMIF(Reservas!C:C,A92,Reservas!G:G)</f>
        <v>0</v>
      </c>
      <c r="C92" s="22">
        <f t="shared" si="1"/>
        <v>70</v>
      </c>
      <c r="D92" s="22">
        <f>SUMIF(Reservas!C:C,A92,Reservas!I:I)</f>
        <v>0</v>
      </c>
    </row>
    <row r="93">
      <c r="A93" s="21">
        <v>46083.0</v>
      </c>
      <c r="B93" s="22">
        <f>SUMIF(Reservas!C:C,A93,Reservas!G:G)</f>
        <v>47</v>
      </c>
      <c r="C93" s="22">
        <f t="shared" si="1"/>
        <v>23</v>
      </c>
      <c r="D93" s="22">
        <f>SUMIF(Reservas!C:C,A93,Reservas!I:I)</f>
        <v>0</v>
      </c>
    </row>
    <row r="94">
      <c r="A94" s="21">
        <v>46084.0</v>
      </c>
      <c r="B94" s="22">
        <f>SUMIF(Reservas!C:C,A94,Reservas!G:G)</f>
        <v>111</v>
      </c>
      <c r="C94" s="22">
        <f t="shared" si="1"/>
        <v>-41</v>
      </c>
      <c r="D94" s="22">
        <f>SUMIF(Reservas!C:C,A94,Reservas!I:I)</f>
        <v>0</v>
      </c>
    </row>
    <row r="95">
      <c r="A95" s="21">
        <v>46085.0</v>
      </c>
      <c r="B95" s="22">
        <f>SUMIF(Reservas!C:C,A95,Reservas!G:G)</f>
        <v>0</v>
      </c>
      <c r="C95" s="22">
        <f t="shared" si="1"/>
        <v>70</v>
      </c>
      <c r="D95" s="22">
        <f>SUMIF(Reservas!C:C,A95,Reservas!I:I)</f>
        <v>0</v>
      </c>
    </row>
    <row r="96">
      <c r="A96" s="21">
        <v>46086.0</v>
      </c>
      <c r="B96" s="22">
        <f>SUMIF(Reservas!C:C,A96,Reservas!G:G)</f>
        <v>48</v>
      </c>
      <c r="C96" s="22">
        <f t="shared" si="1"/>
        <v>22</v>
      </c>
      <c r="D96" s="22">
        <f>SUMIF(Reservas!C:C,A96,Reservas!I:I)</f>
        <v>0</v>
      </c>
    </row>
    <row r="97">
      <c r="A97" s="21">
        <v>46087.0</v>
      </c>
      <c r="B97" s="22">
        <f>SUMIF(Reservas!C:C,A97,Reservas!G:G)</f>
        <v>44</v>
      </c>
      <c r="C97" s="22">
        <f t="shared" si="1"/>
        <v>26</v>
      </c>
      <c r="D97" s="22">
        <f>SUMIF(Reservas!C:C,A97,Reservas!I:I)</f>
        <v>0</v>
      </c>
    </row>
    <row r="98">
      <c r="A98" s="21">
        <v>46088.0</v>
      </c>
      <c r="B98" s="22">
        <f>SUMIF(Reservas!C:C,A98,Reservas!G:G)</f>
        <v>0</v>
      </c>
      <c r="C98" s="22">
        <f t="shared" si="1"/>
        <v>70</v>
      </c>
      <c r="D98" s="22">
        <f>SUMIF(Reservas!C:C,A98,Reservas!I:I)</f>
        <v>0</v>
      </c>
    </row>
    <row r="99">
      <c r="A99" s="21">
        <v>46089.0</v>
      </c>
      <c r="B99" s="22">
        <f>SUMIF(Reservas!C:C,A99,Reservas!G:G)</f>
        <v>0</v>
      </c>
      <c r="C99" s="22">
        <f t="shared" si="1"/>
        <v>70</v>
      </c>
      <c r="D99" s="22">
        <f>SUMIF(Reservas!C:C,A99,Reservas!I:I)</f>
        <v>0</v>
      </c>
    </row>
    <row r="100">
      <c r="A100" s="21">
        <v>46090.0</v>
      </c>
      <c r="B100" s="22">
        <f>SUMIF(Reservas!C:C,A100,Reservas!G:G)</f>
        <v>28</v>
      </c>
      <c r="C100" s="22">
        <f t="shared" si="1"/>
        <v>42</v>
      </c>
      <c r="D100" s="22">
        <f>SUMIF(Reservas!C:C,A100,Reservas!I:I)</f>
        <v>0</v>
      </c>
    </row>
    <row r="101">
      <c r="A101" s="21">
        <v>46091.0</v>
      </c>
      <c r="B101" s="22">
        <f>SUMIF(Reservas!C:C,A101,Reservas!G:G)</f>
        <v>63</v>
      </c>
      <c r="C101" s="22">
        <f t="shared" si="1"/>
        <v>7</v>
      </c>
      <c r="D101" s="22">
        <f>SUMIF(Reservas!C:C,A101,Reservas!I:I)</f>
        <v>0</v>
      </c>
    </row>
    <row r="102">
      <c r="A102" s="21">
        <v>46092.0</v>
      </c>
      <c r="B102" s="22">
        <f>SUMIF(Reservas!C:C,A102,Reservas!G:G)</f>
        <v>36</v>
      </c>
      <c r="C102" s="22">
        <f t="shared" si="1"/>
        <v>34</v>
      </c>
      <c r="D102" s="22">
        <f>SUMIF(Reservas!C:C,A102,Reservas!I:I)</f>
        <v>0</v>
      </c>
    </row>
    <row r="103">
      <c r="A103" s="21">
        <v>46093.0</v>
      </c>
      <c r="B103" s="22">
        <f>SUMIF(Reservas!C:C,A103,Reservas!G:G)</f>
        <v>37</v>
      </c>
      <c r="C103" s="22">
        <f t="shared" si="1"/>
        <v>33</v>
      </c>
      <c r="D103" s="22">
        <f>SUMIF(Reservas!C:C,A103,Reservas!I:I)</f>
        <v>0</v>
      </c>
    </row>
    <row r="104">
      <c r="A104" s="21">
        <v>46094.0</v>
      </c>
      <c r="B104" s="22">
        <f>SUMIF(Reservas!C:C,A104,Reservas!G:G)</f>
        <v>39</v>
      </c>
      <c r="C104" s="22">
        <f t="shared" si="1"/>
        <v>31</v>
      </c>
      <c r="D104" s="22">
        <f>SUMIF(Reservas!C:C,A104,Reservas!I:I)</f>
        <v>0</v>
      </c>
    </row>
    <row r="105">
      <c r="A105" s="21">
        <v>46095.0</v>
      </c>
      <c r="B105" s="22">
        <f>SUMIF(Reservas!C:C,A105,Reservas!G:G)</f>
        <v>0</v>
      </c>
      <c r="C105" s="22">
        <f t="shared" si="1"/>
        <v>70</v>
      </c>
      <c r="D105" s="22">
        <f>SUMIF(Reservas!C:C,A105,Reservas!I:I)</f>
        <v>0</v>
      </c>
    </row>
    <row r="106">
      <c r="A106" s="21">
        <v>46096.0</v>
      </c>
      <c r="B106" s="22">
        <f>SUMIF(Reservas!C:C,A106,Reservas!G:G)</f>
        <v>0</v>
      </c>
      <c r="C106" s="22">
        <f t="shared" si="1"/>
        <v>70</v>
      </c>
      <c r="D106" s="22">
        <f>SUMIF(Reservas!C:C,A106,Reservas!I:I)</f>
        <v>0</v>
      </c>
    </row>
    <row r="107">
      <c r="A107" s="21">
        <v>46097.0</v>
      </c>
      <c r="B107" s="22">
        <f>SUMIF(Reservas!C:C,A107,Reservas!G:G)</f>
        <v>59</v>
      </c>
      <c r="C107" s="22">
        <f t="shared" si="1"/>
        <v>11</v>
      </c>
      <c r="D107" s="22">
        <f>SUMIF(Reservas!C:C,A107,Reservas!I:I)</f>
        <v>0</v>
      </c>
    </row>
    <row r="108">
      <c r="A108" s="21">
        <v>46098.0</v>
      </c>
      <c r="B108" s="22">
        <f>SUMIF(Reservas!C:C,A108,Reservas!G:G)</f>
        <v>49</v>
      </c>
      <c r="C108" s="22">
        <f t="shared" si="1"/>
        <v>21</v>
      </c>
      <c r="D108" s="22">
        <f>SUMIF(Reservas!C:C,A108,Reservas!I:I)</f>
        <v>0</v>
      </c>
    </row>
    <row r="109">
      <c r="A109" s="21">
        <v>46099.0</v>
      </c>
      <c r="B109" s="22">
        <f>SUMIF(Reservas!C:C,A109,Reservas!G:G)</f>
        <v>29</v>
      </c>
      <c r="C109" s="22">
        <f t="shared" si="1"/>
        <v>41</v>
      </c>
      <c r="D109" s="22">
        <f>SUMIF(Reservas!C:C,A109,Reservas!I:I)</f>
        <v>0</v>
      </c>
    </row>
    <row r="110">
      <c r="A110" s="21">
        <v>46100.0</v>
      </c>
      <c r="B110" s="22">
        <f>SUMIF(Reservas!C:C,A110,Reservas!G:G)</f>
        <v>10</v>
      </c>
      <c r="C110" s="22">
        <f t="shared" si="1"/>
        <v>60</v>
      </c>
      <c r="D110" s="22">
        <f>SUMIF(Reservas!C:C,A110,Reservas!I:I)</f>
        <v>0</v>
      </c>
    </row>
    <row r="111">
      <c r="A111" s="21">
        <v>46101.0</v>
      </c>
      <c r="B111" s="22">
        <f>SUMIF(Reservas!C:C,A111,Reservas!G:G)</f>
        <v>25</v>
      </c>
      <c r="C111" s="22">
        <f t="shared" si="1"/>
        <v>45</v>
      </c>
      <c r="D111" s="22">
        <f>SUMIF(Reservas!C:C,A111,Reservas!I:I)</f>
        <v>0</v>
      </c>
    </row>
    <row r="112">
      <c r="A112" s="21">
        <v>46102.0</v>
      </c>
      <c r="B112" s="22">
        <f>SUMIF(Reservas!C:C,A112,Reservas!G:G)</f>
        <v>0</v>
      </c>
      <c r="C112" s="22">
        <f t="shared" si="1"/>
        <v>70</v>
      </c>
      <c r="D112" s="22">
        <f>SUMIF(Reservas!C:C,A112,Reservas!I:I)</f>
        <v>0</v>
      </c>
    </row>
    <row r="113">
      <c r="A113" s="21">
        <v>46103.0</v>
      </c>
      <c r="B113" s="22">
        <f>SUMIF(Reservas!C:C,A113,Reservas!G:G)</f>
        <v>0</v>
      </c>
      <c r="C113" s="22">
        <f t="shared" si="1"/>
        <v>70</v>
      </c>
      <c r="D113" s="22">
        <f>SUMIF(Reservas!C:C,A113,Reservas!I:I)</f>
        <v>0</v>
      </c>
    </row>
    <row r="114">
      <c r="A114" s="21">
        <v>46104.0</v>
      </c>
      <c r="B114" s="22">
        <f>SUMIF(Reservas!C:C,A114,Reservas!G:G)</f>
        <v>65</v>
      </c>
      <c r="C114" s="22">
        <f t="shared" si="1"/>
        <v>5</v>
      </c>
      <c r="D114" s="22">
        <f>SUMIF(Reservas!C:C,A114,Reservas!I:I)</f>
        <v>0</v>
      </c>
    </row>
    <row r="115">
      <c r="A115" s="21">
        <v>46105.0</v>
      </c>
      <c r="B115" s="22">
        <f>SUMIF(Reservas!C:C,A115,Reservas!G:G)</f>
        <v>46</v>
      </c>
      <c r="C115" s="22">
        <f t="shared" si="1"/>
        <v>24</v>
      </c>
      <c r="D115" s="22">
        <f>SUMIF(Reservas!C:C,A115,Reservas!I:I)</f>
        <v>0</v>
      </c>
    </row>
    <row r="116">
      <c r="A116" s="21">
        <v>46106.0</v>
      </c>
      <c r="B116" s="22">
        <f>SUMIF(Reservas!C:C,A116,Reservas!G:G)</f>
        <v>30</v>
      </c>
      <c r="C116" s="22">
        <f t="shared" si="1"/>
        <v>40</v>
      </c>
      <c r="D116" s="22">
        <f>SUMIF(Reservas!C:C,A116,Reservas!I:I)</f>
        <v>0</v>
      </c>
    </row>
    <row r="117">
      <c r="A117" s="21">
        <v>46107.0</v>
      </c>
      <c r="B117" s="22">
        <f>SUMIF(Reservas!C:C,A117,Reservas!G:G)</f>
        <v>13</v>
      </c>
      <c r="C117" s="22">
        <f t="shared" si="1"/>
        <v>57</v>
      </c>
      <c r="D117" s="22">
        <f>SUMIF(Reservas!C:C,A117,Reservas!I:I)</f>
        <v>0</v>
      </c>
    </row>
    <row r="118">
      <c r="A118" s="21">
        <v>46108.0</v>
      </c>
      <c r="B118" s="22">
        <f>SUMIF(Reservas!C:C,A118,Reservas!G:G)</f>
        <v>15</v>
      </c>
      <c r="C118" s="22">
        <f t="shared" si="1"/>
        <v>55</v>
      </c>
      <c r="D118" s="22">
        <f>SUMIF(Reservas!C:C,A118,Reservas!I:I)</f>
        <v>0</v>
      </c>
    </row>
    <row r="119">
      <c r="A119" s="21">
        <v>46109.0</v>
      </c>
      <c r="B119" s="22">
        <f>SUMIF(Reservas!C:C,A119,Reservas!G:G)</f>
        <v>0</v>
      </c>
      <c r="C119" s="22">
        <f t="shared" si="1"/>
        <v>70</v>
      </c>
      <c r="D119" s="22">
        <f>SUMIF(Reservas!C:C,A119,Reservas!I:I)</f>
        <v>0</v>
      </c>
    </row>
    <row r="120">
      <c r="A120" s="21">
        <v>46110.0</v>
      </c>
      <c r="B120" s="22">
        <f>SUMIF(Reservas!C:C,A120,Reservas!G:G)</f>
        <v>0</v>
      </c>
      <c r="C120" s="22">
        <f t="shared" si="1"/>
        <v>70</v>
      </c>
      <c r="D120" s="22">
        <f>SUMIF(Reservas!C:C,A120,Reservas!I:I)</f>
        <v>0</v>
      </c>
    </row>
    <row r="121">
      <c r="A121" s="21">
        <v>46111.0</v>
      </c>
      <c r="B121" s="22">
        <f>SUMIF(Reservas!C:C,A121,Reservas!G:G)</f>
        <v>39</v>
      </c>
      <c r="C121" s="22">
        <f t="shared" si="1"/>
        <v>31</v>
      </c>
      <c r="D121" s="22">
        <f>SUMIF(Reservas!C:C,A121,Reservas!I:I)</f>
        <v>0</v>
      </c>
    </row>
    <row r="122">
      <c r="A122" s="21">
        <v>46112.0</v>
      </c>
      <c r="B122" s="22">
        <f>SUMIF(Reservas!C:C,A122,Reservas!G:G)</f>
        <v>28</v>
      </c>
      <c r="C122" s="22">
        <f t="shared" si="1"/>
        <v>42</v>
      </c>
      <c r="D122" s="22">
        <f>SUMIF(Reservas!C:C,A122,Reservas!I:I)</f>
        <v>0</v>
      </c>
    </row>
    <row r="123">
      <c r="A123" s="21">
        <v>46113.0</v>
      </c>
      <c r="B123" s="22">
        <f>SUMIF(Reservas!C:C,A123,Reservas!G:G)</f>
        <v>0</v>
      </c>
      <c r="C123" s="22">
        <f t="shared" si="1"/>
        <v>70</v>
      </c>
      <c r="D123" s="22">
        <f>SUMIF(Reservas!C:C,A123,Reservas!I:I)</f>
        <v>0</v>
      </c>
    </row>
    <row r="124">
      <c r="A124" s="21">
        <v>46114.0</v>
      </c>
      <c r="B124" s="22">
        <f>SUMIF(Reservas!C:C,A124,Reservas!G:G)</f>
        <v>12</v>
      </c>
      <c r="C124" s="22">
        <f t="shared" si="1"/>
        <v>58</v>
      </c>
      <c r="D124" s="22">
        <f>SUMIF(Reservas!C:C,A124,Reservas!I:I)</f>
        <v>0</v>
      </c>
    </row>
    <row r="125">
      <c r="A125" s="21">
        <v>46115.0</v>
      </c>
      <c r="B125" s="22">
        <f>SUMIF(Reservas!C:C,A125,Reservas!G:G)</f>
        <v>0</v>
      </c>
      <c r="C125" s="22">
        <f t="shared" si="1"/>
        <v>70</v>
      </c>
      <c r="D125" s="22">
        <f>SUMIF(Reservas!C:C,A125,Reservas!I:I)</f>
        <v>0</v>
      </c>
    </row>
    <row r="126">
      <c r="A126" s="21">
        <v>46116.0</v>
      </c>
      <c r="B126" s="22">
        <f>SUMIF(Reservas!C:C,A126,Reservas!G:G)</f>
        <v>0</v>
      </c>
      <c r="C126" s="22">
        <f t="shared" si="1"/>
        <v>70</v>
      </c>
      <c r="D126" s="22">
        <f>SUMIF(Reservas!C:C,A126,Reservas!I:I)</f>
        <v>0</v>
      </c>
    </row>
    <row r="127">
      <c r="A127" s="21">
        <v>46117.0</v>
      </c>
      <c r="B127" s="22">
        <f>SUMIF(Reservas!C:C,A127,Reservas!G:G)</f>
        <v>0</v>
      </c>
      <c r="C127" s="22">
        <f t="shared" si="1"/>
        <v>70</v>
      </c>
      <c r="D127" s="22">
        <f>SUMIF(Reservas!C:C,A127,Reservas!I:I)</f>
        <v>0</v>
      </c>
    </row>
    <row r="128">
      <c r="A128" s="21">
        <v>46118.0</v>
      </c>
      <c r="B128" s="22">
        <f>SUMIF(Reservas!C:C,A128,Reservas!G:G)</f>
        <v>26</v>
      </c>
      <c r="C128" s="22">
        <f t="shared" si="1"/>
        <v>44</v>
      </c>
      <c r="D128" s="22">
        <f>SUMIF(Reservas!C:C,A128,Reservas!I:I)</f>
        <v>0</v>
      </c>
    </row>
    <row r="129">
      <c r="A129" s="21">
        <v>46119.0</v>
      </c>
      <c r="B129" s="22">
        <f>SUMIF(Reservas!C:C,A129,Reservas!G:G)</f>
        <v>0</v>
      </c>
      <c r="C129" s="22">
        <f t="shared" si="1"/>
        <v>70</v>
      </c>
      <c r="D129" s="22">
        <f>SUMIF(Reservas!C:C,A129,Reservas!I:I)</f>
        <v>0</v>
      </c>
    </row>
    <row r="130">
      <c r="A130" s="21">
        <v>46120.0</v>
      </c>
      <c r="B130" s="22">
        <f>SUMIF(Reservas!C:C,A130,Reservas!G:G)</f>
        <v>0</v>
      </c>
      <c r="C130" s="22">
        <f t="shared" si="1"/>
        <v>70</v>
      </c>
      <c r="D130" s="22">
        <f>SUMIF(Reservas!C:C,A130,Reservas!I:I)</f>
        <v>0</v>
      </c>
    </row>
    <row r="131">
      <c r="A131" s="21">
        <v>46121.0</v>
      </c>
      <c r="B131" s="22">
        <f>SUMIF(Reservas!C:C,A131,Reservas!G:G)</f>
        <v>31</v>
      </c>
      <c r="C131" s="22">
        <f t="shared" si="1"/>
        <v>39</v>
      </c>
      <c r="D131" s="22">
        <f>SUMIF(Reservas!C:C,A131,Reservas!I:I)</f>
        <v>0</v>
      </c>
    </row>
    <row r="132">
      <c r="A132" s="21">
        <v>46122.0</v>
      </c>
      <c r="B132" s="22">
        <f>SUMIF(Reservas!C:C,A132,Reservas!G:G)</f>
        <v>48</v>
      </c>
      <c r="C132" s="22">
        <f t="shared" si="1"/>
        <v>22</v>
      </c>
      <c r="D132" s="22">
        <f>SUMIF(Reservas!C:C,A132,Reservas!I:I)</f>
        <v>0</v>
      </c>
    </row>
    <row r="133">
      <c r="A133" s="21">
        <v>46123.0</v>
      </c>
      <c r="B133" s="22">
        <f>SUMIF(Reservas!C:C,A133,Reservas!G:G)</f>
        <v>0</v>
      </c>
      <c r="C133" s="22">
        <f t="shared" si="1"/>
        <v>70</v>
      </c>
      <c r="D133" s="22">
        <f>SUMIF(Reservas!C:C,A133,Reservas!I:I)</f>
        <v>0</v>
      </c>
    </row>
    <row r="134">
      <c r="A134" s="21">
        <v>46124.0</v>
      </c>
      <c r="B134" s="22">
        <f>SUMIF(Reservas!C:C,A134,Reservas!G:G)</f>
        <v>0</v>
      </c>
      <c r="C134" s="22">
        <f t="shared" si="1"/>
        <v>70</v>
      </c>
      <c r="D134" s="22">
        <f>SUMIF(Reservas!C:C,A134,Reservas!I:I)</f>
        <v>0</v>
      </c>
    </row>
    <row r="135">
      <c r="A135" s="21">
        <v>46125.0</v>
      </c>
      <c r="B135" s="22">
        <f>SUMIF(Reservas!C:C,A135,Reservas!G:G)</f>
        <v>76</v>
      </c>
      <c r="C135" s="22">
        <f t="shared" si="1"/>
        <v>-6</v>
      </c>
      <c r="D135" s="22">
        <f>SUMIF(Reservas!C:C,A135,Reservas!I:I)</f>
        <v>0</v>
      </c>
    </row>
    <row r="136">
      <c r="A136" s="21">
        <v>46126.0</v>
      </c>
      <c r="B136" s="22">
        <f>SUMIF(Reservas!C:C,A136,Reservas!G:G)</f>
        <v>69</v>
      </c>
      <c r="C136" s="22">
        <f t="shared" si="1"/>
        <v>1</v>
      </c>
      <c r="D136" s="22">
        <f>SUMIF(Reservas!C:C,A136,Reservas!I:I)</f>
        <v>0</v>
      </c>
    </row>
    <row r="137">
      <c r="A137" s="21">
        <v>46127.0</v>
      </c>
      <c r="B137" s="22">
        <f>SUMIF(Reservas!C:C,A137,Reservas!G:G)</f>
        <v>26</v>
      </c>
      <c r="C137" s="22">
        <f t="shared" ref="C137:C183" si="2">(50-B137)+D137</f>
        <v>24</v>
      </c>
      <c r="D137" s="22">
        <f>SUMIF(Reservas!C:C,A137,Reservas!I:I)</f>
        <v>0</v>
      </c>
    </row>
    <row r="138">
      <c r="A138" s="21">
        <v>46128.0</v>
      </c>
      <c r="B138" s="22">
        <f>SUMIF(Reservas!C:C,A138,Reservas!G:G)</f>
        <v>35</v>
      </c>
      <c r="C138" s="22">
        <f t="shared" si="2"/>
        <v>15</v>
      </c>
      <c r="D138" s="22">
        <f>SUMIF(Reservas!C:C,A138,Reservas!I:I)</f>
        <v>0</v>
      </c>
    </row>
    <row r="139">
      <c r="A139" s="21">
        <v>46129.0</v>
      </c>
      <c r="B139" s="22">
        <f>SUMIF(Reservas!C:C,A139,Reservas!G:G)</f>
        <v>50</v>
      </c>
      <c r="C139" s="22">
        <f t="shared" si="2"/>
        <v>0</v>
      </c>
      <c r="D139" s="22">
        <f>SUMIF(Reservas!C:C,A139,Reservas!I:I)</f>
        <v>0</v>
      </c>
    </row>
    <row r="140">
      <c r="A140" s="21">
        <v>46130.0</v>
      </c>
      <c r="B140" s="22">
        <f>SUMIF(Reservas!C:C,A140,Reservas!G:G)</f>
        <v>0</v>
      </c>
      <c r="C140" s="22">
        <f t="shared" si="2"/>
        <v>50</v>
      </c>
      <c r="D140" s="22">
        <f>SUMIF(Reservas!C:C,A140,Reservas!I:I)</f>
        <v>0</v>
      </c>
    </row>
    <row r="141">
      <c r="A141" s="21">
        <v>46131.0</v>
      </c>
      <c r="B141" s="22">
        <f>SUMIF(Reservas!C:C,A141,Reservas!G:G)</f>
        <v>0</v>
      </c>
      <c r="C141" s="22">
        <f t="shared" si="2"/>
        <v>50</v>
      </c>
      <c r="D141" s="22">
        <f>SUMIF(Reservas!C:C,A141,Reservas!I:I)</f>
        <v>0</v>
      </c>
    </row>
    <row r="142">
      <c r="A142" s="21">
        <v>46132.0</v>
      </c>
      <c r="B142" s="22">
        <f>SUMIF(Reservas!C:C,A142,Reservas!G:G)</f>
        <v>0</v>
      </c>
      <c r="C142" s="22">
        <f t="shared" si="2"/>
        <v>50</v>
      </c>
      <c r="D142" s="22">
        <f>SUMIF(Reservas!C:C,A142,Reservas!I:I)</f>
        <v>0</v>
      </c>
    </row>
    <row r="143">
      <c r="A143" s="21">
        <v>46133.0</v>
      </c>
      <c r="B143" s="22">
        <f>SUMIF(Reservas!C:C,A143,Reservas!G:G)</f>
        <v>0</v>
      </c>
      <c r="C143" s="22">
        <f t="shared" si="2"/>
        <v>50</v>
      </c>
      <c r="D143" s="22">
        <f>SUMIF(Reservas!C:C,A143,Reservas!I:I)</f>
        <v>0</v>
      </c>
    </row>
    <row r="144">
      <c r="A144" s="21">
        <v>46134.0</v>
      </c>
      <c r="B144" s="22">
        <f>SUMIF(Reservas!C:C,A144,Reservas!G:G)</f>
        <v>30</v>
      </c>
      <c r="C144" s="22">
        <f t="shared" si="2"/>
        <v>20</v>
      </c>
      <c r="D144" s="22">
        <f>SUMIF(Reservas!C:C,A144,Reservas!I:I)</f>
        <v>0</v>
      </c>
    </row>
    <row r="145">
      <c r="A145" s="21">
        <v>46135.0</v>
      </c>
      <c r="B145" s="22">
        <f>SUMIF(Reservas!C:C,A145,Reservas!G:G)</f>
        <v>24</v>
      </c>
      <c r="C145" s="22">
        <f t="shared" si="2"/>
        <v>26</v>
      </c>
      <c r="D145" s="22">
        <f>SUMIF(Reservas!C:C,A145,Reservas!I:I)</f>
        <v>0</v>
      </c>
    </row>
    <row r="146">
      <c r="A146" s="21">
        <v>46136.0</v>
      </c>
      <c r="B146" s="22">
        <f>SUMIF(Reservas!C:C,A146,Reservas!G:G)</f>
        <v>32</v>
      </c>
      <c r="C146" s="22">
        <f t="shared" si="2"/>
        <v>18</v>
      </c>
      <c r="D146" s="22">
        <f>SUMIF(Reservas!C:C,A146,Reservas!I:I)</f>
        <v>0</v>
      </c>
    </row>
    <row r="147">
      <c r="A147" s="21">
        <v>46137.0</v>
      </c>
      <c r="B147" s="22">
        <f>SUMIF(Reservas!C:C,A147,Reservas!G:G)</f>
        <v>0</v>
      </c>
      <c r="C147" s="22">
        <f t="shared" si="2"/>
        <v>50</v>
      </c>
      <c r="D147" s="22">
        <f>SUMIF(Reservas!C:C,A147,Reservas!I:I)</f>
        <v>0</v>
      </c>
    </row>
    <row r="148">
      <c r="A148" s="21">
        <v>46138.0</v>
      </c>
      <c r="B148" s="22">
        <f>SUMIF(Reservas!C:C,A148,Reservas!G:G)</f>
        <v>0</v>
      </c>
      <c r="C148" s="22">
        <f t="shared" si="2"/>
        <v>50</v>
      </c>
      <c r="D148" s="22">
        <f>SUMIF(Reservas!C:C,A148,Reservas!I:I)</f>
        <v>0</v>
      </c>
    </row>
    <row r="149">
      <c r="A149" s="21">
        <v>46139.0</v>
      </c>
      <c r="B149" s="22">
        <f>SUMIF(Reservas!C:C,A149,Reservas!G:G)</f>
        <v>0</v>
      </c>
      <c r="C149" s="22">
        <f t="shared" si="2"/>
        <v>50</v>
      </c>
      <c r="D149" s="22">
        <f>SUMIF(Reservas!C:C,A149,Reservas!I:I)</f>
        <v>0</v>
      </c>
    </row>
    <row r="150">
      <c r="A150" s="21">
        <v>46140.0</v>
      </c>
      <c r="B150" s="22">
        <f>SUMIF(Reservas!C:C,A150,Reservas!G:G)</f>
        <v>50</v>
      </c>
      <c r="C150" s="22">
        <f t="shared" si="2"/>
        <v>0</v>
      </c>
      <c r="D150" s="22">
        <f>SUMIF(Reservas!C:C,A150,Reservas!I:I)</f>
        <v>0</v>
      </c>
    </row>
    <row r="151">
      <c r="A151" s="21">
        <v>46141.0</v>
      </c>
      <c r="B151" s="22">
        <f>SUMIF(Reservas!C:C,A151,Reservas!G:G)</f>
        <v>39</v>
      </c>
      <c r="C151" s="22">
        <f t="shared" si="2"/>
        <v>11</v>
      </c>
      <c r="D151" s="22">
        <f>SUMIF(Reservas!C:C,A151,Reservas!I:I)</f>
        <v>0</v>
      </c>
    </row>
    <row r="152">
      <c r="A152" s="21">
        <v>46142.0</v>
      </c>
      <c r="B152" s="22">
        <f>SUMIF(Reservas!C:C,A152,Reservas!G:G)</f>
        <v>24</v>
      </c>
      <c r="C152" s="22">
        <f t="shared" si="2"/>
        <v>26</v>
      </c>
      <c r="D152" s="22">
        <f>SUMIF(Reservas!C:C,A152,Reservas!I:I)</f>
        <v>0</v>
      </c>
    </row>
    <row r="153">
      <c r="A153" s="21">
        <v>46143.0</v>
      </c>
      <c r="B153" s="22">
        <f>SUMIF(Reservas!C:C,A153,Reservas!G:G)</f>
        <v>0</v>
      </c>
      <c r="C153" s="22">
        <f t="shared" si="2"/>
        <v>50</v>
      </c>
      <c r="D153" s="22">
        <f>SUMIF(Reservas!C:C,A153,Reservas!I:I)</f>
        <v>0</v>
      </c>
    </row>
    <row r="154">
      <c r="A154" s="21">
        <v>46144.0</v>
      </c>
      <c r="B154" s="22">
        <f>SUMIF(Reservas!C:C,A154,Reservas!G:G)</f>
        <v>0</v>
      </c>
      <c r="C154" s="22">
        <f t="shared" si="2"/>
        <v>50</v>
      </c>
      <c r="D154" s="22">
        <f>SUMIF(Reservas!C:C,A154,Reservas!I:I)</f>
        <v>0</v>
      </c>
    </row>
    <row r="155">
      <c r="A155" s="21">
        <v>46145.0</v>
      </c>
      <c r="B155" s="22">
        <f>SUMIF(Reservas!C:C,A155,Reservas!G:G)</f>
        <v>0</v>
      </c>
      <c r="C155" s="22">
        <f t="shared" si="2"/>
        <v>50</v>
      </c>
      <c r="D155" s="22">
        <f>SUMIF(Reservas!C:C,A155,Reservas!I:I)</f>
        <v>0</v>
      </c>
    </row>
    <row r="156">
      <c r="A156" s="21">
        <v>46146.0</v>
      </c>
      <c r="B156" s="22">
        <f>SUMIF(Reservas!C:C,A156,Reservas!G:G)</f>
        <v>11</v>
      </c>
      <c r="C156" s="22">
        <f t="shared" si="2"/>
        <v>39</v>
      </c>
      <c r="D156" s="22">
        <f>SUMIF(Reservas!C:C,A156,Reservas!I:I)</f>
        <v>0</v>
      </c>
    </row>
    <row r="157">
      <c r="A157" s="21">
        <v>46147.0</v>
      </c>
      <c r="B157" s="22">
        <f>SUMIF(Reservas!C:C,A157,Reservas!G:G)</f>
        <v>39</v>
      </c>
      <c r="C157" s="22">
        <f t="shared" si="2"/>
        <v>11</v>
      </c>
      <c r="D157" s="22">
        <f>SUMIF(Reservas!C:C,A157,Reservas!I:I)</f>
        <v>0</v>
      </c>
    </row>
    <row r="158">
      <c r="A158" s="21">
        <v>46148.0</v>
      </c>
      <c r="B158" s="22">
        <f>SUMIF(Reservas!C:C,A158,Reservas!G:G)</f>
        <v>36</v>
      </c>
      <c r="C158" s="22">
        <f t="shared" si="2"/>
        <v>14</v>
      </c>
      <c r="D158" s="22">
        <f>SUMIF(Reservas!C:C,A158,Reservas!I:I)</f>
        <v>0</v>
      </c>
    </row>
    <row r="159">
      <c r="A159" s="21">
        <v>46149.0</v>
      </c>
      <c r="B159" s="22">
        <f>SUMIF(Reservas!C:C,A159,Reservas!G:G)</f>
        <v>44</v>
      </c>
      <c r="C159" s="22">
        <f t="shared" si="2"/>
        <v>6</v>
      </c>
      <c r="D159" s="22">
        <f>SUMIF(Reservas!C:C,A159,Reservas!I:I)</f>
        <v>0</v>
      </c>
    </row>
    <row r="160">
      <c r="A160" s="21">
        <v>46150.0</v>
      </c>
      <c r="B160" s="22">
        <f>SUMIF(Reservas!C:C,A160,Reservas!G:G)</f>
        <v>83</v>
      </c>
      <c r="C160" s="22">
        <f t="shared" si="2"/>
        <v>-33</v>
      </c>
      <c r="D160" s="22">
        <f>SUMIF(Reservas!C:C,A160,Reservas!I:I)</f>
        <v>0</v>
      </c>
    </row>
    <row r="161">
      <c r="A161" s="21">
        <v>46151.0</v>
      </c>
      <c r="B161" s="22">
        <f>SUMIF(Reservas!C:C,A161,Reservas!G:G)</f>
        <v>0</v>
      </c>
      <c r="C161" s="22">
        <f t="shared" si="2"/>
        <v>50</v>
      </c>
      <c r="D161" s="22">
        <f>SUMIF(Reservas!C:C,A161,Reservas!I:I)</f>
        <v>0</v>
      </c>
    </row>
    <row r="162">
      <c r="A162" s="21">
        <v>46152.0</v>
      </c>
      <c r="B162" s="22">
        <f>SUMIF(Reservas!C:C,A162,Reservas!G:G)</f>
        <v>0</v>
      </c>
      <c r="C162" s="22">
        <f t="shared" si="2"/>
        <v>50</v>
      </c>
      <c r="D162" s="22">
        <f>SUMIF(Reservas!C:C,A162,Reservas!I:I)</f>
        <v>0</v>
      </c>
    </row>
    <row r="163">
      <c r="A163" s="21">
        <v>46153.0</v>
      </c>
      <c r="B163" s="22">
        <f>SUMIF(Reservas!C:C,A163,Reservas!G:G)</f>
        <v>53</v>
      </c>
      <c r="C163" s="22">
        <f t="shared" si="2"/>
        <v>-3</v>
      </c>
      <c r="D163" s="22">
        <f>SUMIF(Reservas!C:C,A163,Reservas!I:I)</f>
        <v>0</v>
      </c>
    </row>
    <row r="164">
      <c r="A164" s="21">
        <v>46154.0</v>
      </c>
      <c r="B164" s="22">
        <f>SUMIF(Reservas!C:C,A164,Reservas!G:G)</f>
        <v>21</v>
      </c>
      <c r="C164" s="22">
        <f t="shared" si="2"/>
        <v>29</v>
      </c>
      <c r="D164" s="22">
        <f>SUMIF(Reservas!C:C,A164,Reservas!I:I)</f>
        <v>0</v>
      </c>
    </row>
    <row r="165">
      <c r="A165" s="21">
        <v>46155.0</v>
      </c>
      <c r="B165" s="22">
        <f>SUMIF(Reservas!C:C,A165,Reservas!G:G)</f>
        <v>59</v>
      </c>
      <c r="C165" s="22">
        <f t="shared" si="2"/>
        <v>-9</v>
      </c>
      <c r="D165" s="22">
        <f>SUMIF(Reservas!C:C,A165,Reservas!I:I)</f>
        <v>0</v>
      </c>
    </row>
    <row r="166">
      <c r="A166" s="21">
        <v>46156.0</v>
      </c>
      <c r="B166" s="22">
        <f>SUMIF(Reservas!C:C,A166,Reservas!G:G)</f>
        <v>64</v>
      </c>
      <c r="C166" s="22">
        <f t="shared" si="2"/>
        <v>-14</v>
      </c>
      <c r="D166" s="22">
        <f>SUMIF(Reservas!C:C,A166,Reservas!I:I)</f>
        <v>0</v>
      </c>
    </row>
    <row r="167">
      <c r="A167" s="21">
        <v>46157.0</v>
      </c>
      <c r="B167" s="22">
        <f>SUMIF(Reservas!C:C,A167,Reservas!G:G)</f>
        <v>86</v>
      </c>
      <c r="C167" s="22">
        <f t="shared" si="2"/>
        <v>-36</v>
      </c>
      <c r="D167" s="22">
        <f>SUMIF(Reservas!C:C,A167,Reservas!I:I)</f>
        <v>0</v>
      </c>
    </row>
    <row r="168">
      <c r="A168" s="21">
        <v>46158.0</v>
      </c>
      <c r="B168" s="22">
        <f>SUMIF(Reservas!C:C,A168,Reservas!G:G)</f>
        <v>0</v>
      </c>
      <c r="C168" s="22">
        <f t="shared" si="2"/>
        <v>50</v>
      </c>
      <c r="D168" s="22">
        <f>SUMIF(Reservas!C:C,A168,Reservas!I:I)</f>
        <v>0</v>
      </c>
    </row>
    <row r="169">
      <c r="A169" s="21">
        <v>46159.0</v>
      </c>
      <c r="B169" s="22">
        <f>SUMIF(Reservas!C:C,A169,Reservas!G:G)</f>
        <v>0</v>
      </c>
      <c r="C169" s="22">
        <f t="shared" si="2"/>
        <v>50</v>
      </c>
      <c r="D169" s="22">
        <f>SUMIF(Reservas!C:C,A169,Reservas!I:I)</f>
        <v>0</v>
      </c>
    </row>
    <row r="170">
      <c r="A170" s="21">
        <v>46160.0</v>
      </c>
      <c r="B170" s="22">
        <f>SUMIF(Reservas!C:C,A170,Reservas!G:G)</f>
        <v>55</v>
      </c>
      <c r="C170" s="22">
        <f t="shared" si="2"/>
        <v>-5</v>
      </c>
      <c r="D170" s="22">
        <f>SUMIF(Reservas!C:C,A170,Reservas!I:I)</f>
        <v>0</v>
      </c>
    </row>
    <row r="171">
      <c r="A171" s="21">
        <v>46161.0</v>
      </c>
      <c r="B171" s="22">
        <f>SUMIF(Reservas!C:C,A171,Reservas!G:G)</f>
        <v>36</v>
      </c>
      <c r="C171" s="22">
        <f t="shared" si="2"/>
        <v>14</v>
      </c>
      <c r="D171" s="22">
        <f>SUMIF(Reservas!C:C,A171,Reservas!I:I)</f>
        <v>0</v>
      </c>
    </row>
    <row r="172">
      <c r="A172" s="21">
        <v>46162.0</v>
      </c>
      <c r="B172" s="22">
        <f>SUMIF(Reservas!C:C,A172,Reservas!G:G)</f>
        <v>1</v>
      </c>
      <c r="C172" s="22">
        <f t="shared" si="2"/>
        <v>49</v>
      </c>
      <c r="D172" s="22">
        <f>SUMIF(Reservas!C:C,A172,Reservas!I:I)</f>
        <v>0</v>
      </c>
    </row>
    <row r="173">
      <c r="A173" s="21">
        <v>46163.0</v>
      </c>
      <c r="B173" s="22">
        <f>SUMIF(Reservas!C:C,A173,Reservas!G:G)</f>
        <v>54</v>
      </c>
      <c r="C173" s="22">
        <f t="shared" si="2"/>
        <v>-4</v>
      </c>
      <c r="D173" s="22">
        <f>SUMIF(Reservas!C:C,A173,Reservas!I:I)</f>
        <v>0</v>
      </c>
    </row>
    <row r="174">
      <c r="A174" s="21">
        <v>46164.0</v>
      </c>
      <c r="B174" s="22">
        <f>SUMIF(Reservas!C:C,A174,Reservas!G:G)</f>
        <v>42</v>
      </c>
      <c r="C174" s="22">
        <f t="shared" si="2"/>
        <v>8</v>
      </c>
      <c r="D174" s="22">
        <f>SUMIF(Reservas!C:C,A174,Reservas!I:I)</f>
        <v>0</v>
      </c>
    </row>
    <row r="175">
      <c r="A175" s="21">
        <v>46165.0</v>
      </c>
      <c r="B175" s="22">
        <f>SUMIF(Reservas!C:C,A175,Reservas!G:G)</f>
        <v>0</v>
      </c>
      <c r="C175" s="22">
        <f t="shared" si="2"/>
        <v>50</v>
      </c>
      <c r="D175" s="22">
        <f>SUMIF(Reservas!C:C,A175,Reservas!I:I)</f>
        <v>0</v>
      </c>
    </row>
    <row r="176">
      <c r="A176" s="21">
        <v>46166.0</v>
      </c>
      <c r="B176" s="22">
        <f>SUMIF(Reservas!C:C,A176,Reservas!G:G)</f>
        <v>0</v>
      </c>
      <c r="C176" s="22">
        <f t="shared" si="2"/>
        <v>50</v>
      </c>
      <c r="D176" s="22">
        <f>SUMIF(Reservas!C:C,A176,Reservas!I:I)</f>
        <v>0</v>
      </c>
    </row>
    <row r="177">
      <c r="A177" s="21">
        <v>46167.0</v>
      </c>
      <c r="B177" s="22">
        <f>SUMIF(Reservas!C:C,A177,Reservas!G:G)</f>
        <v>63</v>
      </c>
      <c r="C177" s="22">
        <f t="shared" si="2"/>
        <v>-13</v>
      </c>
      <c r="D177" s="22">
        <f>SUMIF(Reservas!C:C,A177,Reservas!I:I)</f>
        <v>0</v>
      </c>
    </row>
    <row r="178">
      <c r="A178" s="21">
        <v>46168.0</v>
      </c>
      <c r="B178" s="22">
        <f>SUMIF(Reservas!C:C,A178,Reservas!G:G)</f>
        <v>25</v>
      </c>
      <c r="C178" s="22">
        <f t="shared" si="2"/>
        <v>25</v>
      </c>
      <c r="D178" s="22">
        <f>SUMIF(Reservas!C:C,A178,Reservas!I:I)</f>
        <v>0</v>
      </c>
    </row>
    <row r="179">
      <c r="A179" s="21">
        <v>46169.0</v>
      </c>
      <c r="B179" s="22">
        <f>SUMIF(Reservas!C:C,A179,Reservas!G:G)</f>
        <v>12</v>
      </c>
      <c r="C179" s="22">
        <f t="shared" si="2"/>
        <v>38</v>
      </c>
      <c r="D179" s="22">
        <f>SUMIF(Reservas!C:C,A179,Reservas!I:I)</f>
        <v>0</v>
      </c>
    </row>
    <row r="180">
      <c r="A180" s="21">
        <v>46170.0</v>
      </c>
      <c r="B180" s="22">
        <f>SUMIF(Reservas!C:C,A180,Reservas!G:G)</f>
        <v>36</v>
      </c>
      <c r="C180" s="22">
        <f t="shared" si="2"/>
        <v>14</v>
      </c>
      <c r="D180" s="22">
        <f>SUMIF(Reservas!C:C,A180,Reservas!I:I)</f>
        <v>0</v>
      </c>
    </row>
    <row r="181">
      <c r="A181" s="21">
        <v>46171.0</v>
      </c>
      <c r="B181" s="22">
        <f>SUMIF(Reservas!C:C,A181,Reservas!G:G)</f>
        <v>57</v>
      </c>
      <c r="C181" s="22">
        <f t="shared" si="2"/>
        <v>-7</v>
      </c>
      <c r="D181" s="22">
        <f>SUMIF(Reservas!C:C,A181,Reservas!I:I)</f>
        <v>0</v>
      </c>
    </row>
    <row r="182">
      <c r="A182" s="21">
        <v>46172.0</v>
      </c>
      <c r="B182" s="22">
        <f>SUMIF(Reservas!C:C,A182,Reservas!G:G)</f>
        <v>0</v>
      </c>
      <c r="C182" s="22">
        <f t="shared" si="2"/>
        <v>50</v>
      </c>
      <c r="D182" s="22">
        <f>SUMIF(Reservas!C:C,A182,Reservas!I:I)</f>
        <v>0</v>
      </c>
    </row>
    <row r="183">
      <c r="A183" s="21">
        <v>46173.0</v>
      </c>
      <c r="B183" s="22">
        <f>SUMIF(Reservas!C:C,A183,Reservas!G:G)</f>
        <v>0</v>
      </c>
      <c r="C183" s="22">
        <f t="shared" si="2"/>
        <v>50</v>
      </c>
      <c r="D183" s="22">
        <f>SUMIF(Reservas!C:C,A183,Reservas!I:I)</f>
        <v>0</v>
      </c>
    </row>
    <row r="184">
      <c r="A184" s="21">
        <v>46174.0</v>
      </c>
      <c r="B184" s="22">
        <f>SUMIF(Reservas!C:C,A184,Reservas!G:G)</f>
        <v>34</v>
      </c>
      <c r="C184" s="22">
        <f t="shared" ref="C184:C762" si="3">(48-B184)+D184</f>
        <v>24</v>
      </c>
      <c r="D184" s="22">
        <f>SUMIF(Reservas!C:C,A184,Reservas!I:I)</f>
        <v>10</v>
      </c>
    </row>
    <row r="185">
      <c r="A185" s="21">
        <v>46175.0</v>
      </c>
      <c r="B185" s="22">
        <f>SUMIF(Reservas!C:C,A185,Reservas!G:G)</f>
        <v>67</v>
      </c>
      <c r="C185" s="22">
        <f t="shared" si="3"/>
        <v>-9</v>
      </c>
      <c r="D185" s="22">
        <f>SUMIF(Reservas!C:C,A185,Reservas!I:I)</f>
        <v>10</v>
      </c>
    </row>
    <row r="186">
      <c r="A186" s="21">
        <v>46176.0</v>
      </c>
      <c r="B186" s="22">
        <f>SUMIF(Reservas!C:C,A186,Reservas!G:G)</f>
        <v>49</v>
      </c>
      <c r="C186" s="22">
        <f t="shared" si="3"/>
        <v>-1</v>
      </c>
      <c r="D186" s="22">
        <f>SUMIF(Reservas!C:C,A186,Reservas!I:I)</f>
        <v>0</v>
      </c>
    </row>
    <row r="187">
      <c r="A187" s="21">
        <v>46177.0</v>
      </c>
      <c r="B187" s="22">
        <f>SUMIF(Reservas!C:C,A187,Reservas!G:G)</f>
        <v>0</v>
      </c>
      <c r="C187" s="22">
        <f t="shared" si="3"/>
        <v>48</v>
      </c>
      <c r="D187" s="22">
        <f>SUMIF(Reservas!C:C,A187,Reservas!I:I)</f>
        <v>0</v>
      </c>
    </row>
    <row r="188">
      <c r="A188" s="21">
        <v>46178.0</v>
      </c>
      <c r="B188" s="22">
        <f>SUMIF(Reservas!C:C,A188,Reservas!G:G)</f>
        <v>0</v>
      </c>
      <c r="C188" s="22">
        <f t="shared" si="3"/>
        <v>48</v>
      </c>
      <c r="D188" s="22">
        <f>SUMIF(Reservas!C:C,A188,Reservas!I:I)</f>
        <v>0</v>
      </c>
    </row>
    <row r="189">
      <c r="A189" s="21">
        <v>46179.0</v>
      </c>
      <c r="B189" s="22">
        <f>SUMIF(Reservas!C:C,A189,Reservas!G:G)</f>
        <v>0</v>
      </c>
      <c r="C189" s="22">
        <f t="shared" si="3"/>
        <v>48</v>
      </c>
      <c r="D189" s="22">
        <f>SUMIF(Reservas!C:C,A189,Reservas!I:I)</f>
        <v>0</v>
      </c>
    </row>
    <row r="190">
      <c r="A190" s="21">
        <v>46180.0</v>
      </c>
      <c r="B190" s="22">
        <f>SUMIF(Reservas!C:C,A190,Reservas!G:G)</f>
        <v>0</v>
      </c>
      <c r="C190" s="22">
        <f t="shared" si="3"/>
        <v>48</v>
      </c>
      <c r="D190" s="22">
        <f>SUMIF(Reservas!C:C,A190,Reservas!I:I)</f>
        <v>0</v>
      </c>
    </row>
    <row r="191">
      <c r="A191" s="21">
        <v>46181.0</v>
      </c>
      <c r="B191" s="22">
        <f>SUMIF(Reservas!C:C,A191,Reservas!G:G)</f>
        <v>72</v>
      </c>
      <c r="C191" s="22">
        <f t="shared" si="3"/>
        <v>14</v>
      </c>
      <c r="D191" s="22">
        <f>SUMIF(Reservas!C:C,A191,Reservas!I:I)</f>
        <v>38</v>
      </c>
    </row>
    <row r="192">
      <c r="A192" s="21">
        <v>46182.0</v>
      </c>
      <c r="B192" s="22">
        <f>SUMIF(Reservas!C:C,A192,Reservas!G:G)</f>
        <v>60</v>
      </c>
      <c r="C192" s="22">
        <f t="shared" si="3"/>
        <v>-12</v>
      </c>
      <c r="D192" s="22">
        <f>SUMIF(Reservas!C:C,A192,Reservas!I:I)</f>
        <v>0</v>
      </c>
    </row>
    <row r="193">
      <c r="A193" s="21">
        <v>46183.0</v>
      </c>
      <c r="B193" s="22">
        <f>SUMIF(Reservas!C:C,A193,Reservas!G:G)</f>
        <v>12</v>
      </c>
      <c r="C193" s="22">
        <f t="shared" si="3"/>
        <v>36</v>
      </c>
      <c r="D193" s="22">
        <f>SUMIF(Reservas!C:C,A193,Reservas!I:I)</f>
        <v>0</v>
      </c>
    </row>
    <row r="194">
      <c r="A194" s="21">
        <v>46184.0</v>
      </c>
      <c r="B194" s="22">
        <f>SUMIF(Reservas!C:C,A194,Reservas!G:G)</f>
        <v>40</v>
      </c>
      <c r="C194" s="22">
        <f t="shared" si="3"/>
        <v>8</v>
      </c>
      <c r="D194" s="22">
        <f>SUMIF(Reservas!C:C,A194,Reservas!I:I)</f>
        <v>0</v>
      </c>
    </row>
    <row r="195">
      <c r="A195" s="21">
        <v>46185.0</v>
      </c>
      <c r="B195" s="22">
        <f>SUMIF(Reservas!C:C,A195,Reservas!G:G)</f>
        <v>27</v>
      </c>
      <c r="C195" s="22">
        <f t="shared" si="3"/>
        <v>21</v>
      </c>
      <c r="D195" s="22">
        <f>SUMIF(Reservas!C:C,A195,Reservas!I:I)</f>
        <v>0</v>
      </c>
    </row>
    <row r="196">
      <c r="A196" s="21">
        <v>46186.0</v>
      </c>
      <c r="B196" s="22">
        <f>SUMIF(Reservas!C:C,A196,Reservas!G:G)</f>
        <v>0</v>
      </c>
      <c r="C196" s="22">
        <f t="shared" si="3"/>
        <v>48</v>
      </c>
      <c r="D196" s="22">
        <f>SUMIF(Reservas!C:C,A196,Reservas!I:I)</f>
        <v>0</v>
      </c>
    </row>
    <row r="197">
      <c r="A197" s="21">
        <v>46187.0</v>
      </c>
      <c r="B197" s="22">
        <f>SUMIF(Reservas!C:C,A197,Reservas!G:G)</f>
        <v>0</v>
      </c>
      <c r="C197" s="22">
        <f t="shared" si="3"/>
        <v>48</v>
      </c>
      <c r="D197" s="22">
        <f>SUMIF(Reservas!C:C,A197,Reservas!I:I)</f>
        <v>0</v>
      </c>
    </row>
    <row r="198">
      <c r="A198" s="21">
        <v>46188.0</v>
      </c>
      <c r="B198" s="22">
        <f>SUMIF(Reservas!C:C,A198,Reservas!G:G)</f>
        <v>24</v>
      </c>
      <c r="C198" s="22">
        <f t="shared" si="3"/>
        <v>24</v>
      </c>
      <c r="D198" s="22">
        <f>SUMIF(Reservas!C:C,A198,Reservas!I:I)</f>
        <v>0</v>
      </c>
    </row>
    <row r="199">
      <c r="A199" s="21">
        <v>46189.0</v>
      </c>
      <c r="B199" s="22">
        <f>SUMIF(Reservas!C:C,A199,Reservas!G:G)</f>
        <v>103</v>
      </c>
      <c r="C199" s="22">
        <f t="shared" si="3"/>
        <v>-55</v>
      </c>
      <c r="D199" s="22">
        <f>SUMIF(Reservas!C:C,A199,Reservas!I:I)</f>
        <v>0</v>
      </c>
    </row>
    <row r="200">
      <c r="A200" s="21">
        <v>46190.0</v>
      </c>
      <c r="B200" s="22">
        <f>SUMIF(Reservas!C:C,A200,Reservas!G:G)</f>
        <v>46</v>
      </c>
      <c r="C200" s="22">
        <f t="shared" si="3"/>
        <v>2</v>
      </c>
      <c r="D200" s="22">
        <f>SUMIF(Reservas!C:C,A200,Reservas!I:I)</f>
        <v>0</v>
      </c>
    </row>
    <row r="201">
      <c r="A201" s="21">
        <v>46191.0</v>
      </c>
      <c r="B201" s="22">
        <f>SUMIF(Reservas!C:C,A201,Reservas!G:G)</f>
        <v>7</v>
      </c>
      <c r="C201" s="22">
        <f t="shared" si="3"/>
        <v>41</v>
      </c>
      <c r="D201" s="22">
        <f>SUMIF(Reservas!C:C,A201,Reservas!I:I)</f>
        <v>0</v>
      </c>
    </row>
    <row r="202">
      <c r="A202" s="21">
        <v>46192.0</v>
      </c>
      <c r="B202" s="22">
        <f>SUMIF(Reservas!C:C,A202,Reservas!G:G)</f>
        <v>49</v>
      </c>
      <c r="C202" s="22">
        <f t="shared" si="3"/>
        <v>-1</v>
      </c>
      <c r="D202" s="22">
        <f>SUMIF(Reservas!C:C,A202,Reservas!I:I)</f>
        <v>0</v>
      </c>
    </row>
    <row r="203">
      <c r="A203" s="21">
        <v>46193.0</v>
      </c>
      <c r="B203" s="22">
        <f>SUMIF(Reservas!C:C,A203,Reservas!G:G)</f>
        <v>0</v>
      </c>
      <c r="C203" s="22">
        <f t="shared" si="3"/>
        <v>48</v>
      </c>
      <c r="D203" s="22">
        <f>SUMIF(Reservas!C:C,A203,Reservas!I:I)</f>
        <v>0</v>
      </c>
    </row>
    <row r="204">
      <c r="A204" s="21">
        <v>46194.0</v>
      </c>
      <c r="B204" s="22">
        <f>SUMIF(Reservas!C:C,A204,Reservas!G:G)</f>
        <v>0</v>
      </c>
      <c r="C204" s="22">
        <f t="shared" si="3"/>
        <v>48</v>
      </c>
      <c r="D204" s="22">
        <f>SUMIF(Reservas!C:C,A204,Reservas!I:I)</f>
        <v>0</v>
      </c>
    </row>
    <row r="205">
      <c r="A205" s="21">
        <v>46195.0</v>
      </c>
      <c r="B205" s="22">
        <f>SUMIF(Reservas!C:C,A205,Reservas!G:G)</f>
        <v>29</v>
      </c>
      <c r="C205" s="22">
        <f t="shared" si="3"/>
        <v>19</v>
      </c>
      <c r="D205" s="22">
        <f>SUMIF(Reservas!C:C,A205,Reservas!I:I)</f>
        <v>0</v>
      </c>
    </row>
    <row r="206">
      <c r="A206" s="21">
        <v>46196.0</v>
      </c>
      <c r="B206" s="22">
        <f>SUMIF(Reservas!C:C,A206,Reservas!G:G)</f>
        <v>65</v>
      </c>
      <c r="C206" s="22">
        <f t="shared" si="3"/>
        <v>-17</v>
      </c>
      <c r="D206" s="22">
        <f>SUMIF(Reservas!C:C,A206,Reservas!I:I)</f>
        <v>0</v>
      </c>
    </row>
    <row r="207">
      <c r="A207" s="21">
        <v>46197.0</v>
      </c>
      <c r="B207" s="22">
        <f>SUMIF(Reservas!C:C,A207,Reservas!G:G)</f>
        <v>26</v>
      </c>
      <c r="C207" s="22">
        <f t="shared" si="3"/>
        <v>22</v>
      </c>
      <c r="D207" s="22">
        <f>SUMIF(Reservas!C:C,A207,Reservas!I:I)</f>
        <v>0</v>
      </c>
    </row>
    <row r="208">
      <c r="A208" s="21">
        <v>46198.0</v>
      </c>
      <c r="B208" s="22">
        <f>SUMIF(Reservas!C:C,A208,Reservas!G:G)</f>
        <v>52</v>
      </c>
      <c r="C208" s="22">
        <f t="shared" si="3"/>
        <v>-4</v>
      </c>
      <c r="D208" s="22">
        <f>SUMIF(Reservas!C:C,A208,Reservas!I:I)</f>
        <v>0</v>
      </c>
    </row>
    <row r="209">
      <c r="A209" s="21">
        <v>46199.0</v>
      </c>
      <c r="B209" s="22">
        <f>SUMIF(Reservas!C:C,A209,Reservas!G:G)</f>
        <v>27</v>
      </c>
      <c r="C209" s="22">
        <f t="shared" si="3"/>
        <v>21</v>
      </c>
      <c r="D209" s="22">
        <f>SUMIF(Reservas!C:C,A209,Reservas!I:I)</f>
        <v>0</v>
      </c>
    </row>
    <row r="210">
      <c r="A210" s="21">
        <v>46200.0</v>
      </c>
      <c r="B210" s="22">
        <f>SUMIF(Reservas!C:C,A210,Reservas!G:G)</f>
        <v>0</v>
      </c>
      <c r="C210" s="22">
        <f t="shared" si="3"/>
        <v>48</v>
      </c>
      <c r="D210" s="22">
        <f>SUMIF(Reservas!C:C,A210,Reservas!I:I)</f>
        <v>0</v>
      </c>
    </row>
    <row r="211">
      <c r="A211" s="21">
        <v>46201.0</v>
      </c>
      <c r="B211" s="22">
        <f>SUMIF(Reservas!C:C,A211,Reservas!G:G)</f>
        <v>0</v>
      </c>
      <c r="C211" s="22">
        <f t="shared" si="3"/>
        <v>48</v>
      </c>
      <c r="D211" s="22">
        <f>SUMIF(Reservas!C:C,A211,Reservas!I:I)</f>
        <v>0</v>
      </c>
    </row>
    <row r="212">
      <c r="A212" s="21">
        <v>46202.0</v>
      </c>
      <c r="B212" s="22">
        <f>SUMIF(Reservas!C:C,A212,Reservas!G:G)</f>
        <v>8</v>
      </c>
      <c r="C212" s="22">
        <f t="shared" si="3"/>
        <v>40</v>
      </c>
      <c r="D212" s="22">
        <f>SUMIF(Reservas!C:C,A212,Reservas!I:I)</f>
        <v>0</v>
      </c>
    </row>
    <row r="213">
      <c r="A213" s="21">
        <v>46203.0</v>
      </c>
      <c r="B213" s="22">
        <f>SUMIF(Reservas!C:C,A213,Reservas!G:G)</f>
        <v>18</v>
      </c>
      <c r="C213" s="22">
        <f t="shared" si="3"/>
        <v>30</v>
      </c>
      <c r="D213" s="22">
        <f>SUMIF(Reservas!C:C,A213,Reservas!I:I)</f>
        <v>0</v>
      </c>
    </row>
    <row r="214">
      <c r="A214" s="21">
        <v>46204.0</v>
      </c>
      <c r="B214" s="22">
        <f>SUMIF(Reservas!C:C,A214,Reservas!G:G)</f>
        <v>16</v>
      </c>
      <c r="C214" s="22">
        <f t="shared" si="3"/>
        <v>32</v>
      </c>
      <c r="D214" s="22">
        <f>SUMIF(Reservas!C:C,A214,Reservas!I:I)</f>
        <v>0</v>
      </c>
    </row>
    <row r="215">
      <c r="A215" s="21">
        <v>46205.0</v>
      </c>
      <c r="B215" s="22">
        <f>SUMIF(Reservas!C:C,A215,Reservas!G:G)</f>
        <v>16</v>
      </c>
      <c r="C215" s="22">
        <f t="shared" si="3"/>
        <v>32</v>
      </c>
      <c r="D215" s="22">
        <f>SUMIF(Reservas!C:C,A215,Reservas!I:I)</f>
        <v>0</v>
      </c>
    </row>
    <row r="216">
      <c r="A216" s="21">
        <v>46206.0</v>
      </c>
      <c r="B216" s="22">
        <f>SUMIF(Reservas!C:C,A216,Reservas!G:G)</f>
        <v>0</v>
      </c>
      <c r="C216" s="22">
        <f t="shared" si="3"/>
        <v>48</v>
      </c>
      <c r="D216" s="22">
        <f>SUMIF(Reservas!C:C,A216,Reservas!I:I)</f>
        <v>0</v>
      </c>
    </row>
    <row r="217">
      <c r="A217" s="21">
        <v>46207.0</v>
      </c>
      <c r="B217" s="22">
        <f>SUMIF(Reservas!C:C,A217,Reservas!G:G)</f>
        <v>0</v>
      </c>
      <c r="C217" s="22">
        <f t="shared" si="3"/>
        <v>48</v>
      </c>
      <c r="D217" s="22">
        <f>SUMIF(Reservas!C:C,A217,Reservas!I:I)</f>
        <v>0</v>
      </c>
    </row>
    <row r="218">
      <c r="A218" s="21">
        <v>46208.0</v>
      </c>
      <c r="B218" s="22">
        <f>SUMIF(Reservas!C:C,A218,Reservas!G:G)</f>
        <v>0</v>
      </c>
      <c r="C218" s="22">
        <f t="shared" si="3"/>
        <v>48</v>
      </c>
      <c r="D218" s="22">
        <f>SUMIF(Reservas!C:C,A218,Reservas!I:I)</f>
        <v>0</v>
      </c>
    </row>
    <row r="219">
      <c r="A219" s="21">
        <v>46209.0</v>
      </c>
      <c r="B219" s="22">
        <f>SUMIF(Reservas!C:C,A219,Reservas!G:G)</f>
        <v>0</v>
      </c>
      <c r="C219" s="22">
        <f t="shared" si="3"/>
        <v>48</v>
      </c>
      <c r="D219" s="22">
        <f>SUMIF(Reservas!C:C,A219,Reservas!I:I)</f>
        <v>0</v>
      </c>
    </row>
    <row r="220">
      <c r="A220" s="21">
        <v>46210.0</v>
      </c>
      <c r="B220" s="22">
        <f>SUMIF(Reservas!C:C,A220,Reservas!G:G)</f>
        <v>0</v>
      </c>
      <c r="C220" s="22">
        <f t="shared" si="3"/>
        <v>48</v>
      </c>
      <c r="D220" s="22">
        <f>SUMIF(Reservas!C:C,A220,Reservas!I:I)</f>
        <v>0</v>
      </c>
    </row>
    <row r="221">
      <c r="A221" s="21">
        <v>46211.0</v>
      </c>
      <c r="B221" s="22">
        <f>SUMIF(Reservas!C:C,A221,Reservas!G:G)</f>
        <v>0</v>
      </c>
      <c r="C221" s="22">
        <f t="shared" si="3"/>
        <v>48</v>
      </c>
      <c r="D221" s="22">
        <f>SUMIF(Reservas!C:C,A221,Reservas!I:I)</f>
        <v>0</v>
      </c>
    </row>
    <row r="222">
      <c r="A222" s="21">
        <v>46212.0</v>
      </c>
      <c r="B222" s="22">
        <f>SUMIF(Reservas!C:C,A222,Reservas!G:G)</f>
        <v>0</v>
      </c>
      <c r="C222" s="22">
        <f t="shared" si="3"/>
        <v>48</v>
      </c>
      <c r="D222" s="22">
        <f>SUMIF(Reservas!C:C,A222,Reservas!I:I)</f>
        <v>0</v>
      </c>
    </row>
    <row r="223">
      <c r="A223" s="21">
        <v>46213.0</v>
      </c>
      <c r="B223" s="22">
        <f>SUMIF(Reservas!C:C,A223,Reservas!G:G)</f>
        <v>0</v>
      </c>
      <c r="C223" s="22">
        <f t="shared" si="3"/>
        <v>48</v>
      </c>
      <c r="D223" s="22">
        <f>SUMIF(Reservas!C:C,A223,Reservas!I:I)</f>
        <v>0</v>
      </c>
    </row>
    <row r="224">
      <c r="A224" s="21">
        <v>46214.0</v>
      </c>
      <c r="B224" s="22">
        <f>SUMIF(Reservas!C:C,A224,Reservas!G:G)</f>
        <v>0</v>
      </c>
      <c r="C224" s="22">
        <f t="shared" si="3"/>
        <v>48</v>
      </c>
      <c r="D224" s="22">
        <f>SUMIF(Reservas!C:C,A224,Reservas!I:I)</f>
        <v>0</v>
      </c>
    </row>
    <row r="225">
      <c r="A225" s="21">
        <v>46215.0</v>
      </c>
      <c r="B225" s="22">
        <f>SUMIF(Reservas!C:C,A225,Reservas!G:G)</f>
        <v>0</v>
      </c>
      <c r="C225" s="22">
        <f t="shared" si="3"/>
        <v>48</v>
      </c>
      <c r="D225" s="22">
        <f>SUMIF(Reservas!C:C,A225,Reservas!I:I)</f>
        <v>0</v>
      </c>
    </row>
    <row r="226">
      <c r="A226" s="21">
        <v>46216.0</v>
      </c>
      <c r="B226" s="22">
        <f>SUMIF(Reservas!C:C,A226,Reservas!G:G)</f>
        <v>0</v>
      </c>
      <c r="C226" s="22">
        <f t="shared" si="3"/>
        <v>48</v>
      </c>
      <c r="D226" s="22">
        <f>SUMIF(Reservas!C:C,A226,Reservas!I:I)</f>
        <v>0</v>
      </c>
    </row>
    <row r="227">
      <c r="A227" s="21">
        <v>46217.0</v>
      </c>
      <c r="B227" s="22">
        <f>SUMIF(Reservas!C:C,A227,Reservas!G:G)</f>
        <v>0</v>
      </c>
      <c r="C227" s="22">
        <f t="shared" si="3"/>
        <v>48</v>
      </c>
      <c r="D227" s="22">
        <f>SUMIF(Reservas!C:C,A227,Reservas!I:I)</f>
        <v>0</v>
      </c>
    </row>
    <row r="228">
      <c r="A228" s="21">
        <v>46218.0</v>
      </c>
      <c r="B228" s="22">
        <f>SUMIF(Reservas!C:C,A228,Reservas!G:G)</f>
        <v>0</v>
      </c>
      <c r="C228" s="22">
        <f t="shared" si="3"/>
        <v>48</v>
      </c>
      <c r="D228" s="22">
        <f>SUMIF(Reservas!C:C,A228,Reservas!I:I)</f>
        <v>0</v>
      </c>
    </row>
    <row r="229">
      <c r="A229" s="21">
        <v>46219.0</v>
      </c>
      <c r="B229" s="22">
        <f>SUMIF(Reservas!C:C,A229,Reservas!G:G)</f>
        <v>0</v>
      </c>
      <c r="C229" s="22">
        <f t="shared" si="3"/>
        <v>48</v>
      </c>
      <c r="D229" s="22">
        <f>SUMIF(Reservas!C:C,A229,Reservas!I:I)</f>
        <v>0</v>
      </c>
    </row>
    <row r="230">
      <c r="A230" s="21">
        <v>46220.0</v>
      </c>
      <c r="B230" s="22">
        <f>SUMIF(Reservas!C:C,A230,Reservas!G:G)</f>
        <v>0</v>
      </c>
      <c r="C230" s="22">
        <f t="shared" si="3"/>
        <v>48</v>
      </c>
      <c r="D230" s="22">
        <f>SUMIF(Reservas!C:C,A230,Reservas!I:I)</f>
        <v>0</v>
      </c>
    </row>
    <row r="231">
      <c r="A231" s="21">
        <v>46221.0</v>
      </c>
      <c r="B231" s="22">
        <f>SUMIF(Reservas!C:C,A231,Reservas!G:G)</f>
        <v>0</v>
      </c>
      <c r="C231" s="22">
        <f t="shared" si="3"/>
        <v>48</v>
      </c>
      <c r="D231" s="22">
        <f>SUMIF(Reservas!C:C,A231,Reservas!I:I)</f>
        <v>0</v>
      </c>
    </row>
    <row r="232">
      <c r="A232" s="21">
        <v>46222.0</v>
      </c>
      <c r="B232" s="22">
        <f>SUMIF(Reservas!C:C,A232,Reservas!G:G)</f>
        <v>0</v>
      </c>
      <c r="C232" s="22">
        <f t="shared" si="3"/>
        <v>48</v>
      </c>
      <c r="D232" s="22">
        <f>SUMIF(Reservas!C:C,A232,Reservas!I:I)</f>
        <v>0</v>
      </c>
    </row>
    <row r="233">
      <c r="A233" s="21">
        <v>46223.0</v>
      </c>
      <c r="B233" s="22">
        <f>SUMIF(Reservas!C:C,A233,Reservas!G:G)</f>
        <v>0</v>
      </c>
      <c r="C233" s="22">
        <f t="shared" si="3"/>
        <v>48</v>
      </c>
      <c r="D233" s="22">
        <f>SUMIF(Reservas!C:C,A233,Reservas!I:I)</f>
        <v>0</v>
      </c>
    </row>
    <row r="234">
      <c r="A234" s="21">
        <v>46224.0</v>
      </c>
      <c r="B234" s="22">
        <f>SUMIF(Reservas!C:C,A234,Reservas!G:G)</f>
        <v>0</v>
      </c>
      <c r="C234" s="22">
        <f t="shared" si="3"/>
        <v>48</v>
      </c>
      <c r="D234" s="22">
        <f>SUMIF(Reservas!C:C,A234,Reservas!I:I)</f>
        <v>0</v>
      </c>
    </row>
    <row r="235">
      <c r="A235" s="21">
        <v>46225.0</v>
      </c>
      <c r="B235" s="22">
        <f>SUMIF(Reservas!C:C,A235,Reservas!G:G)</f>
        <v>0</v>
      </c>
      <c r="C235" s="22">
        <f t="shared" si="3"/>
        <v>48</v>
      </c>
      <c r="D235" s="22">
        <f>SUMIF(Reservas!C:C,A235,Reservas!I:I)</f>
        <v>0</v>
      </c>
    </row>
    <row r="236">
      <c r="A236" s="21">
        <v>46226.0</v>
      </c>
      <c r="B236" s="22">
        <f>SUMIF(Reservas!C:C,A236,Reservas!G:G)</f>
        <v>0</v>
      </c>
      <c r="C236" s="22">
        <f t="shared" si="3"/>
        <v>48</v>
      </c>
      <c r="D236" s="22">
        <f>SUMIF(Reservas!C:C,A236,Reservas!I:I)</f>
        <v>0</v>
      </c>
    </row>
    <row r="237">
      <c r="A237" s="21">
        <v>46227.0</v>
      </c>
      <c r="B237" s="22">
        <f>SUMIF(Reservas!C:C,A237,Reservas!G:G)</f>
        <v>0</v>
      </c>
      <c r="C237" s="22">
        <f t="shared" si="3"/>
        <v>48</v>
      </c>
      <c r="D237" s="22">
        <f>SUMIF(Reservas!C:C,A237,Reservas!I:I)</f>
        <v>0</v>
      </c>
    </row>
    <row r="238">
      <c r="A238" s="21">
        <v>46228.0</v>
      </c>
      <c r="B238" s="22">
        <f>SUMIF(Reservas!C:C,A238,Reservas!G:G)</f>
        <v>0</v>
      </c>
      <c r="C238" s="22">
        <f t="shared" si="3"/>
        <v>48</v>
      </c>
      <c r="D238" s="22">
        <f>SUMIF(Reservas!C:C,A238,Reservas!I:I)</f>
        <v>0</v>
      </c>
    </row>
    <row r="239">
      <c r="A239" s="21">
        <v>46229.0</v>
      </c>
      <c r="B239" s="22">
        <f>SUMIF(Reservas!C:C,A239,Reservas!G:G)</f>
        <v>0</v>
      </c>
      <c r="C239" s="22">
        <f t="shared" si="3"/>
        <v>48</v>
      </c>
      <c r="D239" s="22">
        <f>SUMIF(Reservas!C:C,A239,Reservas!I:I)</f>
        <v>0</v>
      </c>
    </row>
    <row r="240">
      <c r="A240" s="21">
        <v>46230.0</v>
      </c>
      <c r="B240" s="22">
        <f>SUMIF(Reservas!C:C,A240,Reservas!G:G)</f>
        <v>0</v>
      </c>
      <c r="C240" s="22">
        <f t="shared" si="3"/>
        <v>48</v>
      </c>
      <c r="D240" s="22">
        <f>SUMIF(Reservas!C:C,A240,Reservas!I:I)</f>
        <v>0</v>
      </c>
    </row>
    <row r="241">
      <c r="A241" s="21">
        <v>46231.0</v>
      </c>
      <c r="B241" s="22">
        <f>SUMIF(Reservas!C:C,A241,Reservas!G:G)</f>
        <v>0</v>
      </c>
      <c r="C241" s="22">
        <f t="shared" si="3"/>
        <v>48</v>
      </c>
      <c r="D241" s="22">
        <f>SUMIF(Reservas!C:C,A241,Reservas!I:I)</f>
        <v>0</v>
      </c>
    </row>
    <row r="242">
      <c r="A242" s="21">
        <v>46232.0</v>
      </c>
      <c r="B242" s="22">
        <f>SUMIF(Reservas!C:C,A242,Reservas!G:G)</f>
        <v>0</v>
      </c>
      <c r="C242" s="22">
        <f t="shared" si="3"/>
        <v>48</v>
      </c>
      <c r="D242" s="22">
        <f>SUMIF(Reservas!C:C,A242,Reservas!I:I)</f>
        <v>0</v>
      </c>
    </row>
    <row r="243">
      <c r="A243" s="21">
        <v>46233.0</v>
      </c>
      <c r="B243" s="22">
        <f>SUMIF(Reservas!C:C,A243,Reservas!G:G)</f>
        <v>0</v>
      </c>
      <c r="C243" s="22">
        <f t="shared" si="3"/>
        <v>48</v>
      </c>
      <c r="D243" s="22">
        <f>SUMIF(Reservas!C:C,A243,Reservas!I:I)</f>
        <v>0</v>
      </c>
    </row>
    <row r="244">
      <c r="A244" s="21">
        <v>46234.0</v>
      </c>
      <c r="B244" s="22">
        <f>SUMIF(Reservas!C:C,A244,Reservas!G:G)</f>
        <v>0</v>
      </c>
      <c r="C244" s="22">
        <f t="shared" si="3"/>
        <v>48</v>
      </c>
      <c r="D244" s="22">
        <f>SUMIF(Reservas!C:C,A244,Reservas!I:I)</f>
        <v>0</v>
      </c>
    </row>
    <row r="245">
      <c r="A245" s="21">
        <v>46235.0</v>
      </c>
      <c r="B245" s="22">
        <f>SUMIF(Reservas!C:C,A245,Reservas!G:G)</f>
        <v>0</v>
      </c>
      <c r="C245" s="22">
        <f t="shared" si="3"/>
        <v>48</v>
      </c>
      <c r="D245" s="22">
        <f>SUMIF(Reservas!C:C,A245,Reservas!I:I)</f>
        <v>0</v>
      </c>
    </row>
    <row r="246">
      <c r="A246" s="21">
        <v>46236.0</v>
      </c>
      <c r="B246" s="22">
        <f>SUMIF(Reservas!C:C,A246,Reservas!G:G)</f>
        <v>0</v>
      </c>
      <c r="C246" s="22">
        <f t="shared" si="3"/>
        <v>48</v>
      </c>
      <c r="D246" s="22">
        <f>SUMIF(Reservas!C:C,A246,Reservas!I:I)</f>
        <v>0</v>
      </c>
    </row>
    <row r="247">
      <c r="A247" s="21">
        <v>46237.0</v>
      </c>
      <c r="B247" s="22">
        <f>SUMIF(Reservas!C:C,A247,Reservas!G:G)</f>
        <v>0</v>
      </c>
      <c r="C247" s="22">
        <f t="shared" si="3"/>
        <v>48</v>
      </c>
      <c r="D247" s="22">
        <f>SUMIF(Reservas!C:C,A247,Reservas!I:I)</f>
        <v>0</v>
      </c>
    </row>
    <row r="248">
      <c r="A248" s="21">
        <v>46238.0</v>
      </c>
      <c r="B248" s="22">
        <f>SUMIF(Reservas!C:C,A248,Reservas!G:G)</f>
        <v>0</v>
      </c>
      <c r="C248" s="22">
        <f t="shared" si="3"/>
        <v>48</v>
      </c>
      <c r="D248" s="22">
        <f>SUMIF(Reservas!C:C,A248,Reservas!I:I)</f>
        <v>0</v>
      </c>
    </row>
    <row r="249">
      <c r="A249" s="21">
        <v>46239.0</v>
      </c>
      <c r="B249" s="22">
        <f>SUMIF(Reservas!C:C,A249,Reservas!G:G)</f>
        <v>0</v>
      </c>
      <c r="C249" s="22">
        <f t="shared" si="3"/>
        <v>48</v>
      </c>
      <c r="D249" s="22">
        <f>SUMIF(Reservas!C:C,A249,Reservas!I:I)</f>
        <v>0</v>
      </c>
    </row>
    <row r="250">
      <c r="A250" s="21">
        <v>46240.0</v>
      </c>
      <c r="B250" s="22">
        <f>SUMIF(Reservas!C:C,A250,Reservas!G:G)</f>
        <v>0</v>
      </c>
      <c r="C250" s="22">
        <f t="shared" si="3"/>
        <v>48</v>
      </c>
      <c r="D250" s="22">
        <f>SUMIF(Reservas!C:C,A250,Reservas!I:I)</f>
        <v>0</v>
      </c>
    </row>
    <row r="251">
      <c r="A251" s="21">
        <v>46241.0</v>
      </c>
      <c r="B251" s="22">
        <f>SUMIF(Reservas!C:C,A251,Reservas!G:G)</f>
        <v>0</v>
      </c>
      <c r="C251" s="22">
        <f t="shared" si="3"/>
        <v>48</v>
      </c>
      <c r="D251" s="22">
        <f>SUMIF(Reservas!C:C,A251,Reservas!I:I)</f>
        <v>0</v>
      </c>
    </row>
    <row r="252">
      <c r="A252" s="21">
        <v>46242.0</v>
      </c>
      <c r="B252" s="22">
        <f>SUMIF(Reservas!C:C,A252,Reservas!G:G)</f>
        <v>0</v>
      </c>
      <c r="C252" s="22">
        <f t="shared" si="3"/>
        <v>48</v>
      </c>
      <c r="D252" s="22">
        <f>SUMIF(Reservas!C:C,A252,Reservas!I:I)</f>
        <v>0</v>
      </c>
    </row>
    <row r="253">
      <c r="A253" s="21">
        <v>46243.0</v>
      </c>
      <c r="B253" s="22">
        <f>SUMIF(Reservas!C:C,A253,Reservas!G:G)</f>
        <v>0</v>
      </c>
      <c r="C253" s="22">
        <f t="shared" si="3"/>
        <v>48</v>
      </c>
      <c r="D253" s="22">
        <f>SUMIF(Reservas!C:C,A253,Reservas!I:I)</f>
        <v>0</v>
      </c>
    </row>
    <row r="254">
      <c r="A254" s="21">
        <v>46244.0</v>
      </c>
      <c r="B254" s="22">
        <f>SUMIF(Reservas!C:C,A254,Reservas!G:G)</f>
        <v>0</v>
      </c>
      <c r="C254" s="22">
        <f t="shared" si="3"/>
        <v>48</v>
      </c>
      <c r="D254" s="22">
        <f>SUMIF(Reservas!C:C,A254,Reservas!I:I)</f>
        <v>0</v>
      </c>
    </row>
    <row r="255">
      <c r="A255" s="21">
        <v>46245.0</v>
      </c>
      <c r="B255" s="22">
        <f>SUMIF(Reservas!C:C,A255,Reservas!G:G)</f>
        <v>0</v>
      </c>
      <c r="C255" s="22">
        <f t="shared" si="3"/>
        <v>48</v>
      </c>
      <c r="D255" s="22">
        <f>SUMIF(Reservas!C:C,A255,Reservas!I:I)</f>
        <v>0</v>
      </c>
    </row>
    <row r="256">
      <c r="A256" s="21">
        <v>46246.0</v>
      </c>
      <c r="B256" s="22">
        <f>SUMIF(Reservas!C:C,A256,Reservas!G:G)</f>
        <v>0</v>
      </c>
      <c r="C256" s="22">
        <f t="shared" si="3"/>
        <v>48</v>
      </c>
      <c r="D256" s="22">
        <f>SUMIF(Reservas!C:C,A256,Reservas!I:I)</f>
        <v>0</v>
      </c>
    </row>
    <row r="257">
      <c r="A257" s="21">
        <v>46247.0</v>
      </c>
      <c r="B257" s="22">
        <f>SUMIF(Reservas!C:C,A257,Reservas!G:G)</f>
        <v>0</v>
      </c>
      <c r="C257" s="22">
        <f t="shared" si="3"/>
        <v>48</v>
      </c>
      <c r="D257" s="22">
        <f>SUMIF(Reservas!C:C,A257,Reservas!I:I)</f>
        <v>0</v>
      </c>
    </row>
    <row r="258">
      <c r="A258" s="21">
        <v>46248.0</v>
      </c>
      <c r="B258" s="22">
        <f>SUMIF(Reservas!C:C,A258,Reservas!G:G)</f>
        <v>0</v>
      </c>
      <c r="C258" s="22">
        <f t="shared" si="3"/>
        <v>48</v>
      </c>
      <c r="D258" s="22">
        <f>SUMIF(Reservas!C:C,A258,Reservas!I:I)</f>
        <v>0</v>
      </c>
    </row>
    <row r="259">
      <c r="A259" s="21">
        <v>46249.0</v>
      </c>
      <c r="B259" s="22">
        <f>SUMIF(Reservas!C:C,A259,Reservas!G:G)</f>
        <v>0</v>
      </c>
      <c r="C259" s="22">
        <f t="shared" si="3"/>
        <v>48</v>
      </c>
      <c r="D259" s="22">
        <f>SUMIF(Reservas!C:C,A259,Reservas!I:I)</f>
        <v>0</v>
      </c>
    </row>
    <row r="260">
      <c r="A260" s="21">
        <v>46250.0</v>
      </c>
      <c r="B260" s="22">
        <f>SUMIF(Reservas!C:C,A260,Reservas!G:G)</f>
        <v>0</v>
      </c>
      <c r="C260" s="22">
        <f t="shared" si="3"/>
        <v>48</v>
      </c>
      <c r="D260" s="22">
        <f>SUMIF(Reservas!C:C,A260,Reservas!I:I)</f>
        <v>0</v>
      </c>
    </row>
    <row r="261">
      <c r="A261" s="21">
        <v>46251.0</v>
      </c>
      <c r="B261" s="22">
        <f>SUMIF(Reservas!C:C,A261,Reservas!G:G)</f>
        <v>0</v>
      </c>
      <c r="C261" s="22">
        <f t="shared" si="3"/>
        <v>48</v>
      </c>
      <c r="D261" s="22">
        <f>SUMIF(Reservas!C:C,A261,Reservas!I:I)</f>
        <v>0</v>
      </c>
    </row>
    <row r="262">
      <c r="A262" s="21">
        <v>46252.0</v>
      </c>
      <c r="B262" s="22">
        <f>SUMIF(Reservas!C:C,A262,Reservas!G:G)</f>
        <v>0</v>
      </c>
      <c r="C262" s="22">
        <f t="shared" si="3"/>
        <v>48</v>
      </c>
      <c r="D262" s="22">
        <f>SUMIF(Reservas!C:C,A262,Reservas!I:I)</f>
        <v>0</v>
      </c>
    </row>
    <row r="263">
      <c r="A263" s="21">
        <v>46253.0</v>
      </c>
      <c r="B263" s="22">
        <f>SUMIF(Reservas!C:C,A263,Reservas!G:G)</f>
        <v>0</v>
      </c>
      <c r="C263" s="22">
        <f t="shared" si="3"/>
        <v>48</v>
      </c>
      <c r="D263" s="22">
        <f>SUMIF(Reservas!C:C,A263,Reservas!I:I)</f>
        <v>0</v>
      </c>
    </row>
    <row r="264">
      <c r="A264" s="21">
        <v>46254.0</v>
      </c>
      <c r="B264" s="22">
        <f>SUMIF(Reservas!C:C,A264,Reservas!G:G)</f>
        <v>0</v>
      </c>
      <c r="C264" s="22">
        <f t="shared" si="3"/>
        <v>48</v>
      </c>
      <c r="D264" s="22">
        <f>SUMIF(Reservas!C:C,A264,Reservas!I:I)</f>
        <v>0</v>
      </c>
    </row>
    <row r="265">
      <c r="A265" s="21">
        <v>46255.0</v>
      </c>
      <c r="B265" s="22">
        <f>SUMIF(Reservas!C:C,A265,Reservas!G:G)</f>
        <v>0</v>
      </c>
      <c r="C265" s="22">
        <f t="shared" si="3"/>
        <v>48</v>
      </c>
      <c r="D265" s="22">
        <f>SUMIF(Reservas!C:C,A265,Reservas!I:I)</f>
        <v>0</v>
      </c>
    </row>
    <row r="266">
      <c r="A266" s="21">
        <v>46256.0</v>
      </c>
      <c r="B266" s="22">
        <f>SUMIF(Reservas!C:C,A266,Reservas!G:G)</f>
        <v>0</v>
      </c>
      <c r="C266" s="22">
        <f t="shared" si="3"/>
        <v>48</v>
      </c>
      <c r="D266" s="22">
        <f>SUMIF(Reservas!C:C,A266,Reservas!I:I)</f>
        <v>0</v>
      </c>
    </row>
    <row r="267">
      <c r="A267" s="21">
        <v>46257.0</v>
      </c>
      <c r="B267" s="22">
        <f>SUMIF(Reservas!C:C,A267,Reservas!G:G)</f>
        <v>0</v>
      </c>
      <c r="C267" s="22">
        <f t="shared" si="3"/>
        <v>48</v>
      </c>
      <c r="D267" s="22">
        <f>SUMIF(Reservas!C:C,A267,Reservas!I:I)</f>
        <v>0</v>
      </c>
    </row>
    <row r="268">
      <c r="A268" s="21">
        <v>46258.0</v>
      </c>
      <c r="B268" s="22">
        <f>SUMIF(Reservas!C:C,A268,Reservas!G:G)</f>
        <v>0</v>
      </c>
      <c r="C268" s="22">
        <f t="shared" si="3"/>
        <v>48</v>
      </c>
      <c r="D268" s="22">
        <f>SUMIF(Reservas!C:C,A268,Reservas!I:I)</f>
        <v>0</v>
      </c>
    </row>
    <row r="269">
      <c r="A269" s="21">
        <v>46259.0</v>
      </c>
      <c r="B269" s="22">
        <f>SUMIF(Reservas!C:C,A269,Reservas!G:G)</f>
        <v>0</v>
      </c>
      <c r="C269" s="22">
        <f t="shared" si="3"/>
        <v>48</v>
      </c>
      <c r="D269" s="22">
        <f>SUMIF(Reservas!C:C,A269,Reservas!I:I)</f>
        <v>0</v>
      </c>
    </row>
    <row r="270">
      <c r="A270" s="21">
        <v>46260.0</v>
      </c>
      <c r="B270" s="22">
        <f>SUMIF(Reservas!C:C,A270,Reservas!G:G)</f>
        <v>0</v>
      </c>
      <c r="C270" s="22">
        <f t="shared" si="3"/>
        <v>48</v>
      </c>
      <c r="D270" s="22">
        <f>SUMIF(Reservas!C:C,A270,Reservas!I:I)</f>
        <v>0</v>
      </c>
    </row>
    <row r="271">
      <c r="A271" s="21">
        <v>46261.0</v>
      </c>
      <c r="B271" s="22">
        <f>SUMIF(Reservas!C:C,A271,Reservas!G:G)</f>
        <v>0</v>
      </c>
      <c r="C271" s="22">
        <f t="shared" si="3"/>
        <v>48</v>
      </c>
      <c r="D271" s="22">
        <f>SUMIF(Reservas!C:C,A271,Reservas!I:I)</f>
        <v>0</v>
      </c>
    </row>
    <row r="272">
      <c r="A272" s="21">
        <v>46262.0</v>
      </c>
      <c r="B272" s="22">
        <f>SUMIF(Reservas!C:C,A272,Reservas!G:G)</f>
        <v>0</v>
      </c>
      <c r="C272" s="22">
        <f t="shared" si="3"/>
        <v>48</v>
      </c>
      <c r="D272" s="22">
        <f>SUMIF(Reservas!C:C,A272,Reservas!I:I)</f>
        <v>0</v>
      </c>
    </row>
    <row r="273">
      <c r="A273" s="21">
        <v>46263.0</v>
      </c>
      <c r="B273" s="22">
        <f>SUMIF(Reservas!C:C,A273,Reservas!G:G)</f>
        <v>0</v>
      </c>
      <c r="C273" s="22">
        <f t="shared" si="3"/>
        <v>48</v>
      </c>
      <c r="D273" s="22">
        <f>SUMIF(Reservas!C:C,A273,Reservas!I:I)</f>
        <v>0</v>
      </c>
    </row>
    <row r="274">
      <c r="A274" s="21">
        <v>46264.0</v>
      </c>
      <c r="B274" s="22">
        <f>SUMIF(Reservas!C:C,A274,Reservas!G:G)</f>
        <v>0</v>
      </c>
      <c r="C274" s="22">
        <f t="shared" si="3"/>
        <v>48</v>
      </c>
      <c r="D274" s="22">
        <f>SUMIF(Reservas!C:C,A274,Reservas!I:I)</f>
        <v>0</v>
      </c>
    </row>
    <row r="275">
      <c r="A275" s="21">
        <v>46265.0</v>
      </c>
      <c r="B275" s="22">
        <f>SUMIF(Reservas!C:C,A275,Reservas!G:G)</f>
        <v>0</v>
      </c>
      <c r="C275" s="22">
        <f t="shared" si="3"/>
        <v>48</v>
      </c>
      <c r="D275" s="22">
        <f>SUMIF(Reservas!C:C,A275,Reservas!I:I)</f>
        <v>0</v>
      </c>
    </row>
    <row r="276">
      <c r="A276" s="21">
        <v>46266.0</v>
      </c>
      <c r="B276" s="22">
        <f>SUMIF(Reservas!C:C,A276,Reservas!G:G)</f>
        <v>0</v>
      </c>
      <c r="C276" s="22">
        <f t="shared" si="3"/>
        <v>48</v>
      </c>
      <c r="D276" s="22">
        <f>SUMIF(Reservas!C:C,A276,Reservas!I:I)</f>
        <v>0</v>
      </c>
    </row>
    <row r="277">
      <c r="A277" s="21">
        <v>46267.0</v>
      </c>
      <c r="B277" s="22">
        <f>SUMIF(Reservas!C:C,A277,Reservas!G:G)</f>
        <v>0</v>
      </c>
      <c r="C277" s="22">
        <f t="shared" si="3"/>
        <v>48</v>
      </c>
      <c r="D277" s="22">
        <f>SUMIF(Reservas!C:C,A277,Reservas!I:I)</f>
        <v>0</v>
      </c>
    </row>
    <row r="278">
      <c r="A278" s="21">
        <v>46268.0</v>
      </c>
      <c r="B278" s="22">
        <f>SUMIF(Reservas!C:C,A278,Reservas!G:G)</f>
        <v>0</v>
      </c>
      <c r="C278" s="22">
        <f t="shared" si="3"/>
        <v>48</v>
      </c>
      <c r="D278" s="22">
        <f>SUMIF(Reservas!C:C,A278,Reservas!I:I)</f>
        <v>0</v>
      </c>
    </row>
    <row r="279">
      <c r="A279" s="21">
        <v>46269.0</v>
      </c>
      <c r="B279" s="22">
        <f>SUMIF(Reservas!C:C,A279,Reservas!G:G)</f>
        <v>0</v>
      </c>
      <c r="C279" s="22">
        <f t="shared" si="3"/>
        <v>48</v>
      </c>
      <c r="D279" s="22">
        <f>SUMIF(Reservas!C:C,A279,Reservas!I:I)</f>
        <v>0</v>
      </c>
    </row>
    <row r="280">
      <c r="A280" s="21">
        <v>46270.0</v>
      </c>
      <c r="B280" s="22">
        <f>SUMIF(Reservas!C:C,A280,Reservas!G:G)</f>
        <v>0</v>
      </c>
      <c r="C280" s="22">
        <f t="shared" si="3"/>
        <v>48</v>
      </c>
      <c r="D280" s="22">
        <f>SUMIF(Reservas!C:C,A280,Reservas!I:I)</f>
        <v>0</v>
      </c>
    </row>
    <row r="281">
      <c r="A281" s="21">
        <v>46271.0</v>
      </c>
      <c r="B281" s="22">
        <f>SUMIF(Reservas!C:C,A281,Reservas!G:G)</f>
        <v>0</v>
      </c>
      <c r="C281" s="22">
        <f t="shared" si="3"/>
        <v>48</v>
      </c>
      <c r="D281" s="22">
        <f>SUMIF(Reservas!C:C,A281,Reservas!I:I)</f>
        <v>0</v>
      </c>
    </row>
    <row r="282">
      <c r="A282" s="21">
        <v>46272.0</v>
      </c>
      <c r="B282" s="22">
        <f>SUMIF(Reservas!C:C,A282,Reservas!G:G)</f>
        <v>0</v>
      </c>
      <c r="C282" s="22">
        <f t="shared" si="3"/>
        <v>48</v>
      </c>
      <c r="D282" s="22">
        <f>SUMIF(Reservas!C:C,A282,Reservas!I:I)</f>
        <v>0</v>
      </c>
    </row>
    <row r="283">
      <c r="A283" s="21">
        <v>46273.0</v>
      </c>
      <c r="B283" s="22">
        <f>SUMIF(Reservas!C:C,A283,Reservas!G:G)</f>
        <v>0</v>
      </c>
      <c r="C283" s="22">
        <f t="shared" si="3"/>
        <v>48</v>
      </c>
      <c r="D283" s="22">
        <f>SUMIF(Reservas!C:C,A283,Reservas!I:I)</f>
        <v>0</v>
      </c>
    </row>
    <row r="284">
      <c r="A284" s="21">
        <v>46274.0</v>
      </c>
      <c r="B284" s="22">
        <f>SUMIF(Reservas!C:C,A284,Reservas!G:G)</f>
        <v>0</v>
      </c>
      <c r="C284" s="22">
        <f t="shared" si="3"/>
        <v>48</v>
      </c>
      <c r="D284" s="22">
        <f>SUMIF(Reservas!C:C,A284,Reservas!I:I)</f>
        <v>0</v>
      </c>
    </row>
    <row r="285">
      <c r="A285" s="21">
        <v>46275.0</v>
      </c>
      <c r="B285" s="22">
        <f>SUMIF(Reservas!C:C,A285,Reservas!G:G)</f>
        <v>0</v>
      </c>
      <c r="C285" s="22">
        <f t="shared" si="3"/>
        <v>48</v>
      </c>
      <c r="D285" s="22">
        <f>SUMIF(Reservas!C:C,A285,Reservas!I:I)</f>
        <v>0</v>
      </c>
    </row>
    <row r="286">
      <c r="A286" s="21">
        <v>46276.0</v>
      </c>
      <c r="B286" s="22">
        <f>SUMIF(Reservas!C:C,A286,Reservas!G:G)</f>
        <v>0</v>
      </c>
      <c r="C286" s="22">
        <f t="shared" si="3"/>
        <v>48</v>
      </c>
      <c r="D286" s="22">
        <f>SUMIF(Reservas!C:C,A286,Reservas!I:I)</f>
        <v>0</v>
      </c>
    </row>
    <row r="287">
      <c r="A287" s="21">
        <v>46277.0</v>
      </c>
      <c r="B287" s="22">
        <f>SUMIF(Reservas!C:C,A287,Reservas!G:G)</f>
        <v>0</v>
      </c>
      <c r="C287" s="22">
        <f t="shared" si="3"/>
        <v>48</v>
      </c>
      <c r="D287" s="22">
        <f>SUMIF(Reservas!C:C,A287,Reservas!I:I)</f>
        <v>0</v>
      </c>
    </row>
    <row r="288">
      <c r="A288" s="21">
        <v>46278.0</v>
      </c>
      <c r="B288" s="22">
        <f>SUMIF(Reservas!C:C,A288,Reservas!G:G)</f>
        <v>0</v>
      </c>
      <c r="C288" s="22">
        <f t="shared" si="3"/>
        <v>48</v>
      </c>
      <c r="D288" s="22">
        <f>SUMIF(Reservas!C:C,A288,Reservas!I:I)</f>
        <v>0</v>
      </c>
    </row>
    <row r="289">
      <c r="A289" s="21">
        <v>46279.0</v>
      </c>
      <c r="B289" s="22">
        <f>SUMIF(Reservas!C:C,A289,Reservas!G:G)</f>
        <v>0</v>
      </c>
      <c r="C289" s="22">
        <f t="shared" si="3"/>
        <v>48</v>
      </c>
      <c r="D289" s="22">
        <f>SUMIF(Reservas!C:C,A289,Reservas!I:I)</f>
        <v>0</v>
      </c>
    </row>
    <row r="290">
      <c r="A290" s="21">
        <v>46280.0</v>
      </c>
      <c r="B290" s="22">
        <f>SUMIF(Reservas!C:C,A290,Reservas!G:G)</f>
        <v>0</v>
      </c>
      <c r="C290" s="22">
        <f t="shared" si="3"/>
        <v>48</v>
      </c>
      <c r="D290" s="22">
        <f>SUMIF(Reservas!C:C,A290,Reservas!I:I)</f>
        <v>0</v>
      </c>
    </row>
    <row r="291">
      <c r="A291" s="21">
        <v>46281.0</v>
      </c>
      <c r="B291" s="22">
        <f>SUMIF(Reservas!C:C,A291,Reservas!G:G)</f>
        <v>0</v>
      </c>
      <c r="C291" s="22">
        <f t="shared" si="3"/>
        <v>48</v>
      </c>
      <c r="D291" s="22">
        <f>SUMIF(Reservas!C:C,A291,Reservas!I:I)</f>
        <v>0</v>
      </c>
    </row>
    <row r="292">
      <c r="A292" s="21">
        <v>46282.0</v>
      </c>
      <c r="B292" s="22">
        <f>SUMIF(Reservas!C:C,A292,Reservas!G:G)</f>
        <v>0</v>
      </c>
      <c r="C292" s="22">
        <f t="shared" si="3"/>
        <v>48</v>
      </c>
      <c r="D292" s="22">
        <f>SUMIF(Reservas!C:C,A292,Reservas!I:I)</f>
        <v>0</v>
      </c>
    </row>
    <row r="293">
      <c r="A293" s="21">
        <v>46283.0</v>
      </c>
      <c r="B293" s="22">
        <f>SUMIF(Reservas!C:C,A293,Reservas!G:G)</f>
        <v>0</v>
      </c>
      <c r="C293" s="22">
        <f t="shared" si="3"/>
        <v>48</v>
      </c>
      <c r="D293" s="22">
        <f>SUMIF(Reservas!C:C,A293,Reservas!I:I)</f>
        <v>0</v>
      </c>
    </row>
    <row r="294">
      <c r="A294" s="21">
        <v>46284.0</v>
      </c>
      <c r="B294" s="22">
        <f>SUMIF(Reservas!C:C,A294,Reservas!G:G)</f>
        <v>0</v>
      </c>
      <c r="C294" s="22">
        <f t="shared" si="3"/>
        <v>48</v>
      </c>
      <c r="D294" s="22">
        <f>SUMIF(Reservas!C:C,A294,Reservas!I:I)</f>
        <v>0</v>
      </c>
    </row>
    <row r="295">
      <c r="A295" s="21">
        <v>46285.0</v>
      </c>
      <c r="B295" s="22">
        <f>SUMIF(Reservas!C:C,A295,Reservas!G:G)</f>
        <v>0</v>
      </c>
      <c r="C295" s="22">
        <f t="shared" si="3"/>
        <v>48</v>
      </c>
      <c r="D295" s="22">
        <f>SUMIF(Reservas!C:C,A295,Reservas!I:I)</f>
        <v>0</v>
      </c>
    </row>
    <row r="296">
      <c r="A296" s="21">
        <v>46286.0</v>
      </c>
      <c r="B296" s="22">
        <f>SUMIF(Reservas!C:C,A296,Reservas!G:G)</f>
        <v>0</v>
      </c>
      <c r="C296" s="22">
        <f t="shared" si="3"/>
        <v>48</v>
      </c>
      <c r="D296" s="22">
        <f>SUMIF(Reservas!C:C,A296,Reservas!I:I)</f>
        <v>0</v>
      </c>
    </row>
    <row r="297">
      <c r="A297" s="21">
        <v>46287.0</v>
      </c>
      <c r="B297" s="22">
        <f>SUMIF(Reservas!C:C,A297,Reservas!G:G)</f>
        <v>0</v>
      </c>
      <c r="C297" s="22">
        <f t="shared" si="3"/>
        <v>48</v>
      </c>
      <c r="D297" s="22">
        <f>SUMIF(Reservas!C:C,A297,Reservas!I:I)</f>
        <v>0</v>
      </c>
    </row>
    <row r="298">
      <c r="A298" s="21">
        <v>46288.0</v>
      </c>
      <c r="B298" s="22">
        <f>SUMIF(Reservas!C:C,A298,Reservas!G:G)</f>
        <v>0</v>
      </c>
      <c r="C298" s="22">
        <f t="shared" si="3"/>
        <v>48</v>
      </c>
      <c r="D298" s="22">
        <f>SUMIF(Reservas!C:C,A298,Reservas!I:I)</f>
        <v>0</v>
      </c>
    </row>
    <row r="299">
      <c r="A299" s="21">
        <v>46289.0</v>
      </c>
      <c r="B299" s="22">
        <f>SUMIF(Reservas!C:C,A299,Reservas!G:G)</f>
        <v>0</v>
      </c>
      <c r="C299" s="22">
        <f t="shared" si="3"/>
        <v>48</v>
      </c>
      <c r="D299" s="22">
        <f>SUMIF(Reservas!C:C,A299,Reservas!I:I)</f>
        <v>0</v>
      </c>
    </row>
    <row r="300">
      <c r="A300" s="21">
        <v>46290.0</v>
      </c>
      <c r="B300" s="22">
        <f>SUMIF(Reservas!C:C,A300,Reservas!G:G)</f>
        <v>0</v>
      </c>
      <c r="C300" s="22">
        <f t="shared" si="3"/>
        <v>48</v>
      </c>
      <c r="D300" s="22">
        <f>SUMIF(Reservas!C:C,A300,Reservas!I:I)</f>
        <v>0</v>
      </c>
    </row>
    <row r="301">
      <c r="A301" s="21">
        <v>46291.0</v>
      </c>
      <c r="B301" s="22">
        <f>SUMIF(Reservas!C:C,A301,Reservas!G:G)</f>
        <v>0</v>
      </c>
      <c r="C301" s="22">
        <f t="shared" si="3"/>
        <v>48</v>
      </c>
      <c r="D301" s="22">
        <f>SUMIF(Reservas!C:C,A301,Reservas!I:I)</f>
        <v>0</v>
      </c>
    </row>
    <row r="302">
      <c r="A302" s="21">
        <v>46292.0</v>
      </c>
      <c r="B302" s="22">
        <f>SUMIF(Reservas!C:C,A302,Reservas!G:G)</f>
        <v>0</v>
      </c>
      <c r="C302" s="22">
        <f t="shared" si="3"/>
        <v>48</v>
      </c>
      <c r="D302" s="22">
        <f>SUMIF(Reservas!C:C,A302,Reservas!I:I)</f>
        <v>0</v>
      </c>
    </row>
    <row r="303">
      <c r="A303" s="21">
        <v>46293.0</v>
      </c>
      <c r="B303" s="22">
        <f>SUMIF(Reservas!C:C,A303,Reservas!G:G)</f>
        <v>0</v>
      </c>
      <c r="C303" s="22">
        <f t="shared" si="3"/>
        <v>48</v>
      </c>
      <c r="D303" s="22">
        <f>SUMIF(Reservas!C:C,A303,Reservas!I:I)</f>
        <v>0</v>
      </c>
    </row>
    <row r="304">
      <c r="A304" s="21">
        <v>46294.0</v>
      </c>
      <c r="B304" s="22">
        <f>SUMIF(Reservas!C:C,A304,Reservas!G:G)</f>
        <v>0</v>
      </c>
      <c r="C304" s="22">
        <f t="shared" si="3"/>
        <v>48</v>
      </c>
      <c r="D304" s="22">
        <f>SUMIF(Reservas!C:C,A304,Reservas!I:I)</f>
        <v>0</v>
      </c>
    </row>
    <row r="305">
      <c r="A305" s="21">
        <v>46295.0</v>
      </c>
      <c r="B305" s="22">
        <f>SUMIF(Reservas!C:C,A305,Reservas!G:G)</f>
        <v>0</v>
      </c>
      <c r="C305" s="22">
        <f t="shared" si="3"/>
        <v>48</v>
      </c>
      <c r="D305" s="22">
        <f>SUMIF(Reservas!C:C,A305,Reservas!I:I)</f>
        <v>0</v>
      </c>
    </row>
    <row r="306">
      <c r="A306" s="21">
        <v>46296.0</v>
      </c>
      <c r="B306" s="22">
        <f>SUMIF(Reservas!C:C,A306,Reservas!G:G)</f>
        <v>0</v>
      </c>
      <c r="C306" s="22">
        <f t="shared" si="3"/>
        <v>48</v>
      </c>
      <c r="D306" s="22">
        <f>SUMIF(Reservas!C:C,A306,Reservas!I:I)</f>
        <v>0</v>
      </c>
    </row>
    <row r="307">
      <c r="A307" s="21">
        <v>46297.0</v>
      </c>
      <c r="B307" s="22">
        <f>SUMIF(Reservas!C:C,A307,Reservas!G:G)</f>
        <v>0</v>
      </c>
      <c r="C307" s="22">
        <f t="shared" si="3"/>
        <v>48</v>
      </c>
      <c r="D307" s="22">
        <f>SUMIF(Reservas!C:C,A307,Reservas!I:I)</f>
        <v>0</v>
      </c>
    </row>
    <row r="308">
      <c r="A308" s="21">
        <v>46298.0</v>
      </c>
      <c r="B308" s="22">
        <f>SUMIF(Reservas!C:C,A308,Reservas!G:G)</f>
        <v>0</v>
      </c>
      <c r="C308" s="22">
        <f t="shared" si="3"/>
        <v>48</v>
      </c>
      <c r="D308" s="22">
        <f>SUMIF(Reservas!C:C,A308,Reservas!I:I)</f>
        <v>0</v>
      </c>
    </row>
    <row r="309">
      <c r="A309" s="21">
        <v>46299.0</v>
      </c>
      <c r="B309" s="22">
        <f>SUMIF(Reservas!C:C,A309,Reservas!G:G)</f>
        <v>0</v>
      </c>
      <c r="C309" s="22">
        <f t="shared" si="3"/>
        <v>48</v>
      </c>
      <c r="D309" s="22">
        <f>SUMIF(Reservas!C:C,A309,Reservas!I:I)</f>
        <v>0</v>
      </c>
    </row>
    <row r="310">
      <c r="A310" s="21">
        <v>46300.0</v>
      </c>
      <c r="B310" s="22">
        <f>SUMIF(Reservas!C:C,A310,Reservas!G:G)</f>
        <v>0</v>
      </c>
      <c r="C310" s="22">
        <f t="shared" si="3"/>
        <v>48</v>
      </c>
      <c r="D310" s="22">
        <f>SUMIF(Reservas!C:C,A310,Reservas!I:I)</f>
        <v>0</v>
      </c>
    </row>
    <row r="311">
      <c r="A311" s="21">
        <v>46301.0</v>
      </c>
      <c r="B311" s="22">
        <f>SUMIF(Reservas!C:C,A311,Reservas!G:G)</f>
        <v>0</v>
      </c>
      <c r="C311" s="22">
        <f t="shared" si="3"/>
        <v>48</v>
      </c>
      <c r="D311" s="22">
        <f>SUMIF(Reservas!C:C,A311,Reservas!I:I)</f>
        <v>0</v>
      </c>
    </row>
    <row r="312">
      <c r="A312" s="21">
        <v>46302.0</v>
      </c>
      <c r="B312" s="22">
        <f>SUMIF(Reservas!C:C,A312,Reservas!G:G)</f>
        <v>0</v>
      </c>
      <c r="C312" s="22">
        <f t="shared" si="3"/>
        <v>48</v>
      </c>
      <c r="D312" s="22">
        <f>SUMIF(Reservas!C:C,A312,Reservas!I:I)</f>
        <v>0</v>
      </c>
    </row>
    <row r="313">
      <c r="A313" s="21">
        <v>46303.0</v>
      </c>
      <c r="B313" s="22">
        <f>SUMIF(Reservas!C:C,A313,Reservas!G:G)</f>
        <v>0</v>
      </c>
      <c r="C313" s="22">
        <f t="shared" si="3"/>
        <v>48</v>
      </c>
      <c r="D313" s="22">
        <f>SUMIF(Reservas!C:C,A313,Reservas!I:I)</f>
        <v>0</v>
      </c>
    </row>
    <row r="314">
      <c r="A314" s="21">
        <v>46304.0</v>
      </c>
      <c r="B314" s="22">
        <f>SUMIF(Reservas!C:C,A314,Reservas!G:G)</f>
        <v>0</v>
      </c>
      <c r="C314" s="22">
        <f t="shared" si="3"/>
        <v>48</v>
      </c>
      <c r="D314" s="22">
        <f>SUMIF(Reservas!C:C,A314,Reservas!I:I)</f>
        <v>0</v>
      </c>
    </row>
    <row r="315">
      <c r="A315" s="21">
        <v>46305.0</v>
      </c>
      <c r="B315" s="22">
        <f>SUMIF(Reservas!C:C,A315,Reservas!G:G)</f>
        <v>0</v>
      </c>
      <c r="C315" s="22">
        <f t="shared" si="3"/>
        <v>48</v>
      </c>
      <c r="D315" s="22">
        <f>SUMIF(Reservas!C:C,A315,Reservas!I:I)</f>
        <v>0</v>
      </c>
    </row>
    <row r="316">
      <c r="A316" s="21">
        <v>46306.0</v>
      </c>
      <c r="B316" s="22">
        <f>SUMIF(Reservas!C:C,A316,Reservas!G:G)</f>
        <v>0</v>
      </c>
      <c r="C316" s="22">
        <f t="shared" si="3"/>
        <v>48</v>
      </c>
      <c r="D316" s="22">
        <f>SUMIF(Reservas!C:C,A316,Reservas!I:I)</f>
        <v>0</v>
      </c>
    </row>
    <row r="317">
      <c r="A317" s="21">
        <v>46307.0</v>
      </c>
      <c r="B317" s="22">
        <f>SUMIF(Reservas!C:C,A317,Reservas!G:G)</f>
        <v>0</v>
      </c>
      <c r="C317" s="22">
        <f t="shared" si="3"/>
        <v>48</v>
      </c>
      <c r="D317" s="22">
        <f>SUMIF(Reservas!C:C,A317,Reservas!I:I)</f>
        <v>0</v>
      </c>
    </row>
    <row r="318">
      <c r="A318" s="21">
        <v>46308.0</v>
      </c>
      <c r="B318" s="22">
        <f>SUMIF(Reservas!C:C,A318,Reservas!G:G)</f>
        <v>0</v>
      </c>
      <c r="C318" s="22">
        <f t="shared" si="3"/>
        <v>48</v>
      </c>
      <c r="D318" s="22">
        <f>SUMIF(Reservas!C:C,A318,Reservas!I:I)</f>
        <v>0</v>
      </c>
    </row>
    <row r="319">
      <c r="A319" s="21">
        <v>46309.0</v>
      </c>
      <c r="B319" s="22">
        <f>SUMIF(Reservas!C:C,A319,Reservas!G:G)</f>
        <v>0</v>
      </c>
      <c r="C319" s="22">
        <f t="shared" si="3"/>
        <v>48</v>
      </c>
      <c r="D319" s="22">
        <f>SUMIF(Reservas!C:C,A319,Reservas!I:I)</f>
        <v>0</v>
      </c>
    </row>
    <row r="320">
      <c r="A320" s="21">
        <v>46310.0</v>
      </c>
      <c r="B320" s="22">
        <f>SUMIF(Reservas!C:C,A320,Reservas!G:G)</f>
        <v>0</v>
      </c>
      <c r="C320" s="22">
        <f t="shared" si="3"/>
        <v>48</v>
      </c>
      <c r="D320" s="22">
        <f>SUMIF(Reservas!C:C,A320,Reservas!I:I)</f>
        <v>0</v>
      </c>
    </row>
    <row r="321">
      <c r="A321" s="21">
        <v>46311.0</v>
      </c>
      <c r="B321" s="22">
        <f>SUMIF(Reservas!C:C,A321,Reservas!G:G)</f>
        <v>0</v>
      </c>
      <c r="C321" s="22">
        <f t="shared" si="3"/>
        <v>48</v>
      </c>
      <c r="D321" s="22">
        <f>SUMIF(Reservas!C:C,A321,Reservas!I:I)</f>
        <v>0</v>
      </c>
    </row>
    <row r="322">
      <c r="A322" s="21">
        <v>46312.0</v>
      </c>
      <c r="B322" s="22">
        <f>SUMIF(Reservas!C:C,A322,Reservas!G:G)</f>
        <v>0</v>
      </c>
      <c r="C322" s="22">
        <f t="shared" si="3"/>
        <v>48</v>
      </c>
      <c r="D322" s="22">
        <f>SUMIF(Reservas!C:C,A322,Reservas!I:I)</f>
        <v>0</v>
      </c>
    </row>
    <row r="323">
      <c r="A323" s="21">
        <v>46313.0</v>
      </c>
      <c r="B323" s="22">
        <f>SUMIF(Reservas!C:C,A323,Reservas!G:G)</f>
        <v>0</v>
      </c>
      <c r="C323" s="22">
        <f t="shared" si="3"/>
        <v>48</v>
      </c>
      <c r="D323" s="22">
        <f>SUMIF(Reservas!C:C,A323,Reservas!I:I)</f>
        <v>0</v>
      </c>
    </row>
    <row r="324">
      <c r="A324" s="21">
        <v>46314.0</v>
      </c>
      <c r="B324" s="22">
        <f>SUMIF(Reservas!C:C,A324,Reservas!G:G)</f>
        <v>0</v>
      </c>
      <c r="C324" s="22">
        <f t="shared" si="3"/>
        <v>48</v>
      </c>
      <c r="D324" s="22">
        <f>SUMIF(Reservas!C:C,A324,Reservas!I:I)</f>
        <v>0</v>
      </c>
    </row>
    <row r="325">
      <c r="A325" s="21">
        <v>46315.0</v>
      </c>
      <c r="B325" s="22">
        <f>SUMIF(Reservas!C:C,A325,Reservas!G:G)</f>
        <v>0</v>
      </c>
      <c r="C325" s="22">
        <f t="shared" si="3"/>
        <v>48</v>
      </c>
      <c r="D325" s="22">
        <f>SUMIF(Reservas!C:C,A325,Reservas!I:I)</f>
        <v>0</v>
      </c>
    </row>
    <row r="326">
      <c r="A326" s="21">
        <v>46316.0</v>
      </c>
      <c r="B326" s="22">
        <f>SUMIF(Reservas!C:C,A326,Reservas!G:G)</f>
        <v>0</v>
      </c>
      <c r="C326" s="22">
        <f t="shared" si="3"/>
        <v>48</v>
      </c>
      <c r="D326" s="22">
        <f>SUMIF(Reservas!C:C,A326,Reservas!I:I)</f>
        <v>0</v>
      </c>
    </row>
    <row r="327">
      <c r="A327" s="21">
        <v>46317.0</v>
      </c>
      <c r="B327" s="22">
        <f>SUMIF(Reservas!C:C,A327,Reservas!G:G)</f>
        <v>0</v>
      </c>
      <c r="C327" s="22">
        <f t="shared" si="3"/>
        <v>48</v>
      </c>
      <c r="D327" s="22">
        <f>SUMIF(Reservas!C:C,A327,Reservas!I:I)</f>
        <v>0</v>
      </c>
    </row>
    <row r="328">
      <c r="A328" s="21">
        <v>46318.0</v>
      </c>
      <c r="B328" s="22">
        <f>SUMIF(Reservas!C:C,A328,Reservas!G:G)</f>
        <v>0</v>
      </c>
      <c r="C328" s="22">
        <f t="shared" si="3"/>
        <v>48</v>
      </c>
      <c r="D328" s="22">
        <f>SUMIF(Reservas!C:C,A328,Reservas!I:I)</f>
        <v>0</v>
      </c>
    </row>
    <row r="329">
      <c r="A329" s="21">
        <v>46319.0</v>
      </c>
      <c r="B329" s="22">
        <f>SUMIF(Reservas!C:C,A329,Reservas!G:G)</f>
        <v>0</v>
      </c>
      <c r="C329" s="22">
        <f t="shared" si="3"/>
        <v>48</v>
      </c>
      <c r="D329" s="22">
        <f>SUMIF(Reservas!C:C,A329,Reservas!I:I)</f>
        <v>0</v>
      </c>
    </row>
    <row r="330">
      <c r="A330" s="21">
        <v>46320.0</v>
      </c>
      <c r="B330" s="22">
        <f>SUMIF(Reservas!C:C,A330,Reservas!G:G)</f>
        <v>0</v>
      </c>
      <c r="C330" s="22">
        <f t="shared" si="3"/>
        <v>48</v>
      </c>
      <c r="D330" s="22">
        <f>SUMIF(Reservas!C:C,A330,Reservas!I:I)</f>
        <v>0</v>
      </c>
    </row>
    <row r="331">
      <c r="A331" s="21">
        <v>46321.0</v>
      </c>
      <c r="B331" s="22">
        <f>SUMIF(Reservas!C:C,A331,Reservas!G:G)</f>
        <v>0</v>
      </c>
      <c r="C331" s="22">
        <f t="shared" si="3"/>
        <v>48</v>
      </c>
      <c r="D331" s="22">
        <f>SUMIF(Reservas!C:C,A331,Reservas!I:I)</f>
        <v>0</v>
      </c>
    </row>
    <row r="332">
      <c r="A332" s="21">
        <v>46322.0</v>
      </c>
      <c r="B332" s="22">
        <f>SUMIF(Reservas!C:C,A332,Reservas!G:G)</f>
        <v>0</v>
      </c>
      <c r="C332" s="22">
        <f t="shared" si="3"/>
        <v>48</v>
      </c>
      <c r="D332" s="22">
        <f>SUMIF(Reservas!C:C,A332,Reservas!I:I)</f>
        <v>0</v>
      </c>
    </row>
    <row r="333">
      <c r="A333" s="21">
        <v>46323.0</v>
      </c>
      <c r="B333" s="22">
        <f>SUMIF(Reservas!C:C,A333,Reservas!G:G)</f>
        <v>0</v>
      </c>
      <c r="C333" s="22">
        <f t="shared" si="3"/>
        <v>48</v>
      </c>
      <c r="D333" s="22">
        <f>SUMIF(Reservas!C:C,A333,Reservas!I:I)</f>
        <v>0</v>
      </c>
    </row>
    <row r="334">
      <c r="A334" s="21">
        <v>46324.0</v>
      </c>
      <c r="B334" s="22">
        <f>SUMIF(Reservas!C:C,A334,Reservas!G:G)</f>
        <v>0</v>
      </c>
      <c r="C334" s="22">
        <f t="shared" si="3"/>
        <v>48</v>
      </c>
      <c r="D334" s="22">
        <f>SUMIF(Reservas!C:C,A334,Reservas!I:I)</f>
        <v>0</v>
      </c>
    </row>
    <row r="335">
      <c r="A335" s="21">
        <v>46325.0</v>
      </c>
      <c r="B335" s="22">
        <f>SUMIF(Reservas!C:C,A335,Reservas!G:G)</f>
        <v>0</v>
      </c>
      <c r="C335" s="22">
        <f t="shared" si="3"/>
        <v>48</v>
      </c>
      <c r="D335" s="22">
        <f>SUMIF(Reservas!C:C,A335,Reservas!I:I)</f>
        <v>0</v>
      </c>
    </row>
    <row r="336">
      <c r="A336" s="21">
        <v>46326.0</v>
      </c>
      <c r="B336" s="22">
        <f>SUMIF(Reservas!C:C,A336,Reservas!G:G)</f>
        <v>0</v>
      </c>
      <c r="C336" s="22">
        <f t="shared" si="3"/>
        <v>48</v>
      </c>
      <c r="D336" s="22">
        <f>SUMIF(Reservas!C:C,A336,Reservas!I:I)</f>
        <v>0</v>
      </c>
    </row>
    <row r="337">
      <c r="A337" s="21">
        <v>46327.0</v>
      </c>
      <c r="B337" s="22">
        <f>SUMIF(Reservas!C:C,A337,Reservas!G:G)</f>
        <v>0</v>
      </c>
      <c r="C337" s="22">
        <f t="shared" si="3"/>
        <v>48</v>
      </c>
      <c r="D337" s="22">
        <f>SUMIF(Reservas!C:C,A337,Reservas!I:I)</f>
        <v>0</v>
      </c>
    </row>
    <row r="338">
      <c r="A338" s="21">
        <v>46328.0</v>
      </c>
      <c r="B338" s="22">
        <f>SUMIF(Reservas!C:C,A338,Reservas!G:G)</f>
        <v>0</v>
      </c>
      <c r="C338" s="22">
        <f t="shared" si="3"/>
        <v>48</v>
      </c>
      <c r="D338" s="22">
        <f>SUMIF(Reservas!C:C,A338,Reservas!I:I)</f>
        <v>0</v>
      </c>
    </row>
    <row r="339">
      <c r="A339" s="21">
        <v>46329.0</v>
      </c>
      <c r="B339" s="22">
        <f>SUMIF(Reservas!C:C,A339,Reservas!G:G)</f>
        <v>0</v>
      </c>
      <c r="C339" s="22">
        <f t="shared" si="3"/>
        <v>48</v>
      </c>
      <c r="D339" s="22">
        <f>SUMIF(Reservas!C:C,A339,Reservas!I:I)</f>
        <v>0</v>
      </c>
    </row>
    <row r="340">
      <c r="A340" s="21">
        <v>46330.0</v>
      </c>
      <c r="B340" s="22">
        <f>SUMIF(Reservas!C:C,A340,Reservas!G:G)</f>
        <v>0</v>
      </c>
      <c r="C340" s="22">
        <f t="shared" si="3"/>
        <v>48</v>
      </c>
      <c r="D340" s="22">
        <f>SUMIF(Reservas!C:C,A340,Reservas!I:I)</f>
        <v>0</v>
      </c>
    </row>
    <row r="341">
      <c r="A341" s="21">
        <v>46331.0</v>
      </c>
      <c r="B341" s="22">
        <f>SUMIF(Reservas!C:C,A341,Reservas!G:G)</f>
        <v>0</v>
      </c>
      <c r="C341" s="22">
        <f t="shared" si="3"/>
        <v>48</v>
      </c>
      <c r="D341" s="22">
        <f>SUMIF(Reservas!C:C,A341,Reservas!I:I)</f>
        <v>0</v>
      </c>
    </row>
    <row r="342">
      <c r="A342" s="21">
        <v>46332.0</v>
      </c>
      <c r="B342" s="22">
        <f>SUMIF(Reservas!C:C,A342,Reservas!G:G)</f>
        <v>0</v>
      </c>
      <c r="C342" s="22">
        <f t="shared" si="3"/>
        <v>48</v>
      </c>
      <c r="D342" s="22">
        <f>SUMIF(Reservas!C:C,A342,Reservas!I:I)</f>
        <v>0</v>
      </c>
    </row>
    <row r="343">
      <c r="A343" s="21">
        <v>46333.0</v>
      </c>
      <c r="B343" s="22">
        <f>SUMIF(Reservas!C:C,A343,Reservas!G:G)</f>
        <v>0</v>
      </c>
      <c r="C343" s="22">
        <f t="shared" si="3"/>
        <v>48</v>
      </c>
      <c r="D343" s="22">
        <f>SUMIF(Reservas!C:C,A343,Reservas!I:I)</f>
        <v>0</v>
      </c>
    </row>
    <row r="344">
      <c r="A344" s="21">
        <v>46334.0</v>
      </c>
      <c r="B344" s="22">
        <f>SUMIF(Reservas!C:C,A344,Reservas!G:G)</f>
        <v>0</v>
      </c>
      <c r="C344" s="22">
        <f t="shared" si="3"/>
        <v>48</v>
      </c>
      <c r="D344" s="22">
        <f>SUMIF(Reservas!C:C,A344,Reservas!I:I)</f>
        <v>0</v>
      </c>
    </row>
    <row r="345">
      <c r="A345" s="21">
        <v>46335.0</v>
      </c>
      <c r="B345" s="22">
        <f>SUMIF(Reservas!C:C,A345,Reservas!G:G)</f>
        <v>0</v>
      </c>
      <c r="C345" s="22">
        <f t="shared" si="3"/>
        <v>48</v>
      </c>
      <c r="D345" s="22">
        <f>SUMIF(Reservas!C:C,A345,Reservas!I:I)</f>
        <v>0</v>
      </c>
    </row>
    <row r="346">
      <c r="A346" s="21">
        <v>46336.0</v>
      </c>
      <c r="B346" s="22">
        <f>SUMIF(Reservas!C:C,A346,Reservas!G:G)</f>
        <v>0</v>
      </c>
      <c r="C346" s="22">
        <f t="shared" si="3"/>
        <v>48</v>
      </c>
      <c r="D346" s="22">
        <f>SUMIF(Reservas!C:C,A346,Reservas!I:I)</f>
        <v>0</v>
      </c>
    </row>
    <row r="347">
      <c r="A347" s="21">
        <v>46337.0</v>
      </c>
      <c r="B347" s="22">
        <f>SUMIF(Reservas!C:C,A347,Reservas!G:G)</f>
        <v>0</v>
      </c>
      <c r="C347" s="22">
        <f t="shared" si="3"/>
        <v>48</v>
      </c>
      <c r="D347" s="22">
        <f>SUMIF(Reservas!C:C,A347,Reservas!I:I)</f>
        <v>0</v>
      </c>
    </row>
    <row r="348">
      <c r="A348" s="21">
        <v>46338.0</v>
      </c>
      <c r="B348" s="22">
        <f>SUMIF(Reservas!C:C,A348,Reservas!G:G)</f>
        <v>0</v>
      </c>
      <c r="C348" s="22">
        <f t="shared" si="3"/>
        <v>48</v>
      </c>
      <c r="D348" s="22">
        <f>SUMIF(Reservas!C:C,A348,Reservas!I:I)</f>
        <v>0</v>
      </c>
    </row>
    <row r="349">
      <c r="A349" s="21">
        <v>46339.0</v>
      </c>
      <c r="B349" s="22">
        <f>SUMIF(Reservas!C:C,A349,Reservas!G:G)</f>
        <v>0</v>
      </c>
      <c r="C349" s="22">
        <f t="shared" si="3"/>
        <v>48</v>
      </c>
      <c r="D349" s="22">
        <f>SUMIF(Reservas!C:C,A349,Reservas!I:I)</f>
        <v>0</v>
      </c>
    </row>
    <row r="350">
      <c r="A350" s="21">
        <v>46340.0</v>
      </c>
      <c r="B350" s="22">
        <f>SUMIF(Reservas!C:C,A350,Reservas!G:G)</f>
        <v>0</v>
      </c>
      <c r="C350" s="22">
        <f t="shared" si="3"/>
        <v>48</v>
      </c>
      <c r="D350" s="22">
        <f>SUMIF(Reservas!C:C,A350,Reservas!I:I)</f>
        <v>0</v>
      </c>
    </row>
    <row r="351">
      <c r="A351" s="21">
        <v>46341.0</v>
      </c>
      <c r="B351" s="22">
        <f>SUMIF(Reservas!C:C,A351,Reservas!G:G)</f>
        <v>0</v>
      </c>
      <c r="C351" s="22">
        <f t="shared" si="3"/>
        <v>48</v>
      </c>
      <c r="D351" s="22">
        <f>SUMIF(Reservas!C:C,A351,Reservas!I:I)</f>
        <v>0</v>
      </c>
    </row>
    <row r="352">
      <c r="A352" s="21">
        <v>46342.0</v>
      </c>
      <c r="B352" s="22">
        <f>SUMIF(Reservas!C:C,A352,Reservas!G:G)</f>
        <v>0</v>
      </c>
      <c r="C352" s="22">
        <f t="shared" si="3"/>
        <v>48</v>
      </c>
      <c r="D352" s="22">
        <f>SUMIF(Reservas!C:C,A352,Reservas!I:I)</f>
        <v>0</v>
      </c>
    </row>
    <row r="353">
      <c r="A353" s="21">
        <v>46343.0</v>
      </c>
      <c r="B353" s="22">
        <f>SUMIF(Reservas!C:C,A353,Reservas!G:G)</f>
        <v>0</v>
      </c>
      <c r="C353" s="22">
        <f t="shared" si="3"/>
        <v>48</v>
      </c>
      <c r="D353" s="22">
        <f>SUMIF(Reservas!C:C,A353,Reservas!I:I)</f>
        <v>0</v>
      </c>
    </row>
    <row r="354">
      <c r="A354" s="21">
        <v>46344.0</v>
      </c>
      <c r="B354" s="22">
        <f>SUMIF(Reservas!C:C,A354,Reservas!G:G)</f>
        <v>0</v>
      </c>
      <c r="C354" s="22">
        <f t="shared" si="3"/>
        <v>48</v>
      </c>
      <c r="D354" s="22">
        <f>SUMIF(Reservas!C:C,A354,Reservas!I:I)</f>
        <v>0</v>
      </c>
    </row>
    <row r="355">
      <c r="A355" s="21">
        <v>46345.0</v>
      </c>
      <c r="B355" s="22">
        <f>SUMIF(Reservas!C:C,A355,Reservas!G:G)</f>
        <v>0</v>
      </c>
      <c r="C355" s="22">
        <f t="shared" si="3"/>
        <v>48</v>
      </c>
      <c r="D355" s="22">
        <f>SUMIF(Reservas!C:C,A355,Reservas!I:I)</f>
        <v>0</v>
      </c>
    </row>
    <row r="356">
      <c r="A356" s="21">
        <v>46346.0</v>
      </c>
      <c r="B356" s="22">
        <f>SUMIF(Reservas!C:C,A356,Reservas!G:G)</f>
        <v>0</v>
      </c>
      <c r="C356" s="22">
        <f t="shared" si="3"/>
        <v>48</v>
      </c>
      <c r="D356" s="22">
        <f>SUMIF(Reservas!C:C,A356,Reservas!I:I)</f>
        <v>0</v>
      </c>
    </row>
    <row r="357">
      <c r="A357" s="21">
        <v>46347.0</v>
      </c>
      <c r="B357" s="22">
        <f>SUMIF(Reservas!C:C,A357,Reservas!G:G)</f>
        <v>0</v>
      </c>
      <c r="C357" s="22">
        <f t="shared" si="3"/>
        <v>48</v>
      </c>
      <c r="D357" s="22">
        <f>SUMIF(Reservas!C:C,A357,Reservas!I:I)</f>
        <v>0</v>
      </c>
    </row>
    <row r="358">
      <c r="A358" s="21">
        <v>46348.0</v>
      </c>
      <c r="B358" s="22">
        <f>SUMIF(Reservas!C:C,A358,Reservas!G:G)</f>
        <v>0</v>
      </c>
      <c r="C358" s="22">
        <f t="shared" si="3"/>
        <v>48</v>
      </c>
      <c r="D358" s="22">
        <f>SUMIF(Reservas!C:C,A358,Reservas!I:I)</f>
        <v>0</v>
      </c>
    </row>
    <row r="359">
      <c r="A359" s="21">
        <v>46349.0</v>
      </c>
      <c r="B359" s="22">
        <f>SUMIF(Reservas!C:C,A359,Reservas!G:G)</f>
        <v>0</v>
      </c>
      <c r="C359" s="22">
        <f t="shared" si="3"/>
        <v>48</v>
      </c>
      <c r="D359" s="22">
        <f>SUMIF(Reservas!C:C,A359,Reservas!I:I)</f>
        <v>0</v>
      </c>
    </row>
    <row r="360">
      <c r="A360" s="21">
        <v>46350.0</v>
      </c>
      <c r="B360" s="22">
        <f>SUMIF(Reservas!C:C,A360,Reservas!G:G)</f>
        <v>0</v>
      </c>
      <c r="C360" s="22">
        <f t="shared" si="3"/>
        <v>48</v>
      </c>
      <c r="D360" s="22">
        <f>SUMIF(Reservas!C:C,A360,Reservas!I:I)</f>
        <v>0</v>
      </c>
    </row>
    <row r="361">
      <c r="A361" s="21">
        <v>46351.0</v>
      </c>
      <c r="B361" s="22">
        <f>SUMIF(Reservas!C:C,A361,Reservas!G:G)</f>
        <v>0</v>
      </c>
      <c r="C361" s="22">
        <f t="shared" si="3"/>
        <v>48</v>
      </c>
      <c r="D361" s="22">
        <f>SUMIF(Reservas!C:C,A361,Reservas!I:I)</f>
        <v>0</v>
      </c>
    </row>
    <row r="362">
      <c r="A362" s="21">
        <v>46352.0</v>
      </c>
      <c r="B362" s="22">
        <f>SUMIF(Reservas!C:C,A362,Reservas!G:G)</f>
        <v>0</v>
      </c>
      <c r="C362" s="22">
        <f t="shared" si="3"/>
        <v>48</v>
      </c>
      <c r="D362" s="22">
        <f>SUMIF(Reservas!C:C,A362,Reservas!I:I)</f>
        <v>0</v>
      </c>
    </row>
    <row r="363">
      <c r="A363" s="21">
        <v>46353.0</v>
      </c>
      <c r="B363" s="22">
        <f>SUMIF(Reservas!C:C,A363,Reservas!G:G)</f>
        <v>0</v>
      </c>
      <c r="C363" s="22">
        <f t="shared" si="3"/>
        <v>48</v>
      </c>
      <c r="D363" s="22">
        <f>SUMIF(Reservas!C:C,A363,Reservas!I:I)</f>
        <v>0</v>
      </c>
    </row>
    <row r="364">
      <c r="A364" s="21">
        <v>46354.0</v>
      </c>
      <c r="B364" s="22">
        <f>SUMIF(Reservas!C:C,A364,Reservas!G:G)</f>
        <v>0</v>
      </c>
      <c r="C364" s="22">
        <f t="shared" si="3"/>
        <v>48</v>
      </c>
      <c r="D364" s="22">
        <f>SUMIF(Reservas!C:C,A364,Reservas!I:I)</f>
        <v>0</v>
      </c>
    </row>
    <row r="365">
      <c r="A365" s="21">
        <v>46355.0</v>
      </c>
      <c r="B365" s="22">
        <f>SUMIF(Reservas!C:C,A365,Reservas!G:G)</f>
        <v>0</v>
      </c>
      <c r="C365" s="22">
        <f t="shared" si="3"/>
        <v>48</v>
      </c>
      <c r="D365" s="22">
        <f>SUMIF(Reservas!C:C,A365,Reservas!I:I)</f>
        <v>0</v>
      </c>
    </row>
    <row r="366">
      <c r="A366" s="21">
        <v>46356.0</v>
      </c>
      <c r="B366" s="22">
        <f>SUMIF(Reservas!C:C,A366,Reservas!G:G)</f>
        <v>0</v>
      </c>
      <c r="C366" s="22">
        <f t="shared" si="3"/>
        <v>48</v>
      </c>
      <c r="D366" s="22">
        <f>SUMIF(Reservas!C:C,A366,Reservas!I:I)</f>
        <v>0</v>
      </c>
    </row>
    <row r="367">
      <c r="A367" s="21">
        <v>46357.0</v>
      </c>
      <c r="B367" s="22">
        <f>SUMIF(Reservas!C:C,A367,Reservas!G:G)</f>
        <v>0</v>
      </c>
      <c r="C367" s="22">
        <f t="shared" si="3"/>
        <v>48</v>
      </c>
      <c r="D367" s="22">
        <f>SUMIF(Reservas!C:C,A367,Reservas!I:I)</f>
        <v>0</v>
      </c>
    </row>
    <row r="368">
      <c r="A368" s="21">
        <v>46358.0</v>
      </c>
      <c r="B368" s="22">
        <f>SUMIF(Reservas!C:C,A368,Reservas!G:G)</f>
        <v>0</v>
      </c>
      <c r="C368" s="22">
        <f t="shared" si="3"/>
        <v>48</v>
      </c>
      <c r="D368" s="22">
        <f>SUMIF(Reservas!C:C,A368,Reservas!I:I)</f>
        <v>0</v>
      </c>
    </row>
    <row r="369">
      <c r="A369" s="21">
        <v>46359.0</v>
      </c>
      <c r="B369" s="22">
        <f>SUMIF(Reservas!C:C,A369,Reservas!G:G)</f>
        <v>0</v>
      </c>
      <c r="C369" s="22">
        <f t="shared" si="3"/>
        <v>48</v>
      </c>
      <c r="D369" s="22">
        <f>SUMIF(Reservas!C:C,A369,Reservas!I:I)</f>
        <v>0</v>
      </c>
    </row>
    <row r="370">
      <c r="A370" s="21">
        <v>46360.0</v>
      </c>
      <c r="B370" s="22">
        <f>SUMIF(Reservas!C:C,A370,Reservas!G:G)</f>
        <v>0</v>
      </c>
      <c r="C370" s="22">
        <f t="shared" si="3"/>
        <v>48</v>
      </c>
      <c r="D370" s="22">
        <f>SUMIF(Reservas!C:C,A370,Reservas!I:I)</f>
        <v>0</v>
      </c>
    </row>
    <row r="371">
      <c r="A371" s="21">
        <v>46361.0</v>
      </c>
      <c r="B371" s="22">
        <f>SUMIF(Reservas!C:C,A371,Reservas!G:G)</f>
        <v>0</v>
      </c>
      <c r="C371" s="22">
        <f t="shared" si="3"/>
        <v>48</v>
      </c>
      <c r="D371" s="22">
        <f>SUMIF(Reservas!C:C,A371,Reservas!I:I)</f>
        <v>0</v>
      </c>
    </row>
    <row r="372">
      <c r="A372" s="21">
        <v>46362.0</v>
      </c>
      <c r="B372" s="22">
        <f>SUMIF(Reservas!C:C,A372,Reservas!G:G)</f>
        <v>0</v>
      </c>
      <c r="C372" s="22">
        <f t="shared" si="3"/>
        <v>48</v>
      </c>
      <c r="D372" s="22">
        <f>SUMIF(Reservas!C:C,A372,Reservas!I:I)</f>
        <v>0</v>
      </c>
    </row>
    <row r="373">
      <c r="A373" s="21">
        <v>46363.0</v>
      </c>
      <c r="B373" s="22">
        <f>SUMIF(Reservas!C:C,A373,Reservas!G:G)</f>
        <v>0</v>
      </c>
      <c r="C373" s="22">
        <f t="shared" si="3"/>
        <v>48</v>
      </c>
      <c r="D373" s="22">
        <f>SUMIF(Reservas!C:C,A373,Reservas!I:I)</f>
        <v>0</v>
      </c>
    </row>
    <row r="374">
      <c r="A374" s="21">
        <v>46364.0</v>
      </c>
      <c r="B374" s="22">
        <f>SUMIF(Reservas!C:C,A374,Reservas!G:G)</f>
        <v>0</v>
      </c>
      <c r="C374" s="22">
        <f t="shared" si="3"/>
        <v>48</v>
      </c>
      <c r="D374" s="22">
        <f>SUMIF(Reservas!C:C,A374,Reservas!I:I)</f>
        <v>0</v>
      </c>
    </row>
    <row r="375">
      <c r="A375" s="21">
        <v>46365.0</v>
      </c>
      <c r="B375" s="22">
        <f>SUMIF(Reservas!C:C,A375,Reservas!G:G)</f>
        <v>0</v>
      </c>
      <c r="C375" s="22">
        <f t="shared" si="3"/>
        <v>48</v>
      </c>
      <c r="D375" s="22">
        <f>SUMIF(Reservas!C:C,A375,Reservas!I:I)</f>
        <v>0</v>
      </c>
    </row>
    <row r="376">
      <c r="A376" s="21">
        <v>46366.0</v>
      </c>
      <c r="B376" s="22">
        <f>SUMIF(Reservas!C:C,A376,Reservas!G:G)</f>
        <v>0</v>
      </c>
      <c r="C376" s="22">
        <f t="shared" si="3"/>
        <v>48</v>
      </c>
      <c r="D376" s="22">
        <f>SUMIF(Reservas!C:C,A376,Reservas!I:I)</f>
        <v>0</v>
      </c>
    </row>
    <row r="377">
      <c r="A377" s="21">
        <v>46367.0</v>
      </c>
      <c r="B377" s="22">
        <f>SUMIF(Reservas!C:C,A377,Reservas!G:G)</f>
        <v>0</v>
      </c>
      <c r="C377" s="22">
        <f t="shared" si="3"/>
        <v>48</v>
      </c>
      <c r="D377" s="22">
        <f>SUMIF(Reservas!C:C,A377,Reservas!I:I)</f>
        <v>0</v>
      </c>
    </row>
    <row r="378">
      <c r="A378" s="21">
        <v>46368.0</v>
      </c>
      <c r="B378" s="22">
        <f>SUMIF(Reservas!C:C,A378,Reservas!G:G)</f>
        <v>0</v>
      </c>
      <c r="C378" s="22">
        <f t="shared" si="3"/>
        <v>48</v>
      </c>
      <c r="D378" s="22">
        <f>SUMIF(Reservas!C:C,A378,Reservas!I:I)</f>
        <v>0</v>
      </c>
    </row>
    <row r="379">
      <c r="A379" s="21">
        <v>46369.0</v>
      </c>
      <c r="B379" s="22">
        <f>SUMIF(Reservas!C:C,A379,Reservas!G:G)</f>
        <v>0</v>
      </c>
      <c r="C379" s="22">
        <f t="shared" si="3"/>
        <v>48</v>
      </c>
      <c r="D379" s="22">
        <f>SUMIF(Reservas!C:C,A379,Reservas!I:I)</f>
        <v>0</v>
      </c>
    </row>
    <row r="380">
      <c r="A380" s="21">
        <v>46370.0</v>
      </c>
      <c r="B380" s="22">
        <f>SUMIF(Reservas!C:C,A380,Reservas!G:G)</f>
        <v>0</v>
      </c>
      <c r="C380" s="22">
        <f t="shared" si="3"/>
        <v>48</v>
      </c>
      <c r="D380" s="22">
        <f>SUMIF(Reservas!C:C,A380,Reservas!I:I)</f>
        <v>0</v>
      </c>
    </row>
    <row r="381">
      <c r="A381" s="21">
        <v>46371.0</v>
      </c>
      <c r="B381" s="22">
        <f>SUMIF(Reservas!C:C,A381,Reservas!G:G)</f>
        <v>0</v>
      </c>
      <c r="C381" s="22">
        <f t="shared" si="3"/>
        <v>48</v>
      </c>
      <c r="D381" s="22">
        <f>SUMIF(Reservas!C:C,A381,Reservas!I:I)</f>
        <v>0</v>
      </c>
    </row>
    <row r="382">
      <c r="A382" s="21">
        <v>46372.0</v>
      </c>
      <c r="B382" s="22">
        <f>SUMIF(Reservas!C:C,A382,Reservas!G:G)</f>
        <v>0</v>
      </c>
      <c r="C382" s="22">
        <f t="shared" si="3"/>
        <v>48</v>
      </c>
      <c r="D382" s="22">
        <f>SUMIF(Reservas!C:C,A382,Reservas!I:I)</f>
        <v>0</v>
      </c>
    </row>
    <row r="383">
      <c r="A383" s="21">
        <v>46373.0</v>
      </c>
      <c r="B383" s="22">
        <f>SUMIF(Reservas!C:C,A383,Reservas!G:G)</f>
        <v>0</v>
      </c>
      <c r="C383" s="22">
        <f t="shared" si="3"/>
        <v>48</v>
      </c>
      <c r="D383" s="22">
        <f>SUMIF(Reservas!C:C,A383,Reservas!I:I)</f>
        <v>0</v>
      </c>
    </row>
    <row r="384">
      <c r="A384" s="21">
        <v>46374.0</v>
      </c>
      <c r="B384" s="22">
        <f>SUMIF(Reservas!C:C,A384,Reservas!G:G)</f>
        <v>0</v>
      </c>
      <c r="C384" s="22">
        <f t="shared" si="3"/>
        <v>48</v>
      </c>
      <c r="D384" s="22">
        <f>SUMIF(Reservas!C:C,A384,Reservas!I:I)</f>
        <v>0</v>
      </c>
    </row>
    <row r="385">
      <c r="A385" s="21">
        <v>46375.0</v>
      </c>
      <c r="B385" s="22">
        <f>SUMIF(Reservas!C:C,A385,Reservas!G:G)</f>
        <v>0</v>
      </c>
      <c r="C385" s="22">
        <f t="shared" si="3"/>
        <v>48</v>
      </c>
      <c r="D385" s="22">
        <f>SUMIF(Reservas!C:C,A385,Reservas!I:I)</f>
        <v>0</v>
      </c>
    </row>
    <row r="386">
      <c r="A386" s="21">
        <v>46376.0</v>
      </c>
      <c r="B386" s="22">
        <f>SUMIF(Reservas!C:C,A386,Reservas!G:G)</f>
        <v>0</v>
      </c>
      <c r="C386" s="22">
        <f t="shared" si="3"/>
        <v>48</v>
      </c>
      <c r="D386" s="22">
        <f>SUMIF(Reservas!C:C,A386,Reservas!I:I)</f>
        <v>0</v>
      </c>
    </row>
    <row r="387">
      <c r="A387" s="21">
        <v>46377.0</v>
      </c>
      <c r="B387" s="22">
        <f>SUMIF(Reservas!C:C,A387,Reservas!G:G)</f>
        <v>0</v>
      </c>
      <c r="C387" s="22">
        <f t="shared" si="3"/>
        <v>48</v>
      </c>
      <c r="D387" s="22">
        <f>SUMIF(Reservas!C:C,A387,Reservas!I:I)</f>
        <v>0</v>
      </c>
    </row>
    <row r="388">
      <c r="A388" s="21">
        <v>46378.0</v>
      </c>
      <c r="B388" s="22">
        <f>SUMIF(Reservas!C:C,A388,Reservas!G:G)</f>
        <v>0</v>
      </c>
      <c r="C388" s="22">
        <f t="shared" si="3"/>
        <v>48</v>
      </c>
      <c r="D388" s="22">
        <f>SUMIF(Reservas!C:C,A388,Reservas!I:I)</f>
        <v>0</v>
      </c>
    </row>
    <row r="389">
      <c r="A389" s="21">
        <v>46379.0</v>
      </c>
      <c r="B389" s="22">
        <f>SUMIF(Reservas!C:C,A389,Reservas!G:G)</f>
        <v>0</v>
      </c>
      <c r="C389" s="22">
        <f t="shared" si="3"/>
        <v>48</v>
      </c>
      <c r="D389" s="22">
        <f>SUMIF(Reservas!C:C,A389,Reservas!I:I)</f>
        <v>0</v>
      </c>
    </row>
    <row r="390">
      <c r="A390" s="21">
        <v>46380.0</v>
      </c>
      <c r="B390" s="22">
        <f>SUMIF(Reservas!C:C,A390,Reservas!G:G)</f>
        <v>0</v>
      </c>
      <c r="C390" s="22">
        <f t="shared" si="3"/>
        <v>48</v>
      </c>
      <c r="D390" s="22">
        <f>SUMIF(Reservas!C:C,A390,Reservas!I:I)</f>
        <v>0</v>
      </c>
    </row>
    <row r="391">
      <c r="A391" s="21">
        <v>46381.0</v>
      </c>
      <c r="B391" s="22">
        <f>SUMIF(Reservas!C:C,A391,Reservas!G:G)</f>
        <v>0</v>
      </c>
      <c r="C391" s="22">
        <f t="shared" si="3"/>
        <v>48</v>
      </c>
      <c r="D391" s="22">
        <f>SUMIF(Reservas!C:C,A391,Reservas!I:I)</f>
        <v>0</v>
      </c>
    </row>
    <row r="392">
      <c r="A392" s="21">
        <v>46382.0</v>
      </c>
      <c r="B392" s="22">
        <f>SUMIF(Reservas!C:C,A392,Reservas!G:G)</f>
        <v>0</v>
      </c>
      <c r="C392" s="22">
        <f t="shared" si="3"/>
        <v>48</v>
      </c>
      <c r="D392" s="22">
        <f>SUMIF(Reservas!C:C,A392,Reservas!I:I)</f>
        <v>0</v>
      </c>
    </row>
    <row r="393">
      <c r="A393" s="21">
        <v>46383.0</v>
      </c>
      <c r="B393" s="22">
        <f>SUMIF(Reservas!C:C,A393,Reservas!G:G)</f>
        <v>0</v>
      </c>
      <c r="C393" s="22">
        <f t="shared" si="3"/>
        <v>48</v>
      </c>
      <c r="D393" s="22">
        <f>SUMIF(Reservas!C:C,A393,Reservas!I:I)</f>
        <v>0</v>
      </c>
    </row>
    <row r="394">
      <c r="A394" s="21">
        <v>46384.0</v>
      </c>
      <c r="B394" s="22">
        <f>SUMIF(Reservas!C:C,A394,Reservas!G:G)</f>
        <v>0</v>
      </c>
      <c r="C394" s="22">
        <f t="shared" si="3"/>
        <v>48</v>
      </c>
      <c r="D394" s="22">
        <f>SUMIF(Reservas!C:C,A394,Reservas!I:I)</f>
        <v>0</v>
      </c>
    </row>
    <row r="395">
      <c r="A395" s="21">
        <v>46385.0</v>
      </c>
      <c r="B395" s="22">
        <f>SUMIF(Reservas!C:C,A395,Reservas!G:G)</f>
        <v>0</v>
      </c>
      <c r="C395" s="22">
        <f t="shared" si="3"/>
        <v>48</v>
      </c>
      <c r="D395" s="22">
        <f>SUMIF(Reservas!C:C,A395,Reservas!I:I)</f>
        <v>0</v>
      </c>
    </row>
    <row r="396">
      <c r="A396" s="21">
        <v>46386.0</v>
      </c>
      <c r="B396" s="22">
        <f>SUMIF(Reservas!C:C,A396,Reservas!G:G)</f>
        <v>0</v>
      </c>
      <c r="C396" s="22">
        <f t="shared" si="3"/>
        <v>48</v>
      </c>
      <c r="D396" s="22">
        <f>SUMIF(Reservas!C:C,A396,Reservas!I:I)</f>
        <v>0</v>
      </c>
    </row>
    <row r="397">
      <c r="A397" s="21">
        <v>46387.0</v>
      </c>
      <c r="B397" s="22">
        <f>SUMIF(Reservas!C:C,A397,Reservas!G:G)</f>
        <v>0</v>
      </c>
      <c r="C397" s="22">
        <f t="shared" si="3"/>
        <v>48</v>
      </c>
      <c r="D397" s="22">
        <f>SUMIF(Reservas!C:C,A397,Reservas!I:I)</f>
        <v>0</v>
      </c>
    </row>
    <row r="398">
      <c r="A398" s="21">
        <v>46388.0</v>
      </c>
      <c r="B398" s="22">
        <f>SUMIF(Reservas!C:C,A398,Reservas!G:G)</f>
        <v>0</v>
      </c>
      <c r="C398" s="22">
        <f t="shared" si="3"/>
        <v>48</v>
      </c>
      <c r="D398" s="22">
        <f>SUMIF(Reservas!C:C,A398,Reservas!I:I)</f>
        <v>0</v>
      </c>
    </row>
    <row r="399">
      <c r="A399" s="21">
        <v>46389.0</v>
      </c>
      <c r="B399" s="22">
        <f>SUMIF(Reservas!C:C,A399,Reservas!G:G)</f>
        <v>0</v>
      </c>
      <c r="C399" s="22">
        <f t="shared" si="3"/>
        <v>48</v>
      </c>
      <c r="D399" s="22">
        <f>SUMIF(Reservas!C:C,A399,Reservas!I:I)</f>
        <v>0</v>
      </c>
    </row>
    <row r="400">
      <c r="A400" s="21">
        <v>46390.0</v>
      </c>
      <c r="B400" s="22">
        <f>SUMIF(Reservas!C:C,A400,Reservas!G:G)</f>
        <v>0</v>
      </c>
      <c r="C400" s="22">
        <f t="shared" si="3"/>
        <v>48</v>
      </c>
      <c r="D400" s="22">
        <f>SUMIF(Reservas!C:C,A400,Reservas!I:I)</f>
        <v>0</v>
      </c>
    </row>
    <row r="401">
      <c r="A401" s="21">
        <v>46391.0</v>
      </c>
      <c r="B401" s="22">
        <f>SUMIF(Reservas!C:C,A401,Reservas!G:G)</f>
        <v>0</v>
      </c>
      <c r="C401" s="22">
        <f t="shared" si="3"/>
        <v>48</v>
      </c>
      <c r="D401" s="22">
        <f>SUMIF(Reservas!C:C,A401,Reservas!I:I)</f>
        <v>0</v>
      </c>
    </row>
    <row r="402">
      <c r="A402" s="21">
        <v>46392.0</v>
      </c>
      <c r="B402" s="22">
        <f>SUMIF(Reservas!C:C,A402,Reservas!G:G)</f>
        <v>0</v>
      </c>
      <c r="C402" s="22">
        <f t="shared" si="3"/>
        <v>48</v>
      </c>
      <c r="D402" s="22">
        <f>SUMIF(Reservas!C:C,A402,Reservas!I:I)</f>
        <v>0</v>
      </c>
    </row>
    <row r="403">
      <c r="A403" s="21">
        <v>46393.0</v>
      </c>
      <c r="B403" s="22">
        <f>SUMIF(Reservas!C:C,A403,Reservas!G:G)</f>
        <v>0</v>
      </c>
      <c r="C403" s="22">
        <f t="shared" si="3"/>
        <v>48</v>
      </c>
      <c r="D403" s="22">
        <f>SUMIF(Reservas!C:C,A403,Reservas!I:I)</f>
        <v>0</v>
      </c>
    </row>
    <row r="404">
      <c r="A404" s="21">
        <v>46394.0</v>
      </c>
      <c r="B404" s="22">
        <f>SUMIF(Reservas!C:C,A404,Reservas!G:G)</f>
        <v>0</v>
      </c>
      <c r="C404" s="22">
        <f t="shared" si="3"/>
        <v>48</v>
      </c>
      <c r="D404" s="22">
        <f>SUMIF(Reservas!C:C,A404,Reservas!I:I)</f>
        <v>0</v>
      </c>
    </row>
    <row r="405">
      <c r="A405" s="21">
        <v>46395.0</v>
      </c>
      <c r="B405" s="22">
        <f>SUMIF(Reservas!C:C,A405,Reservas!G:G)</f>
        <v>0</v>
      </c>
      <c r="C405" s="22">
        <f t="shared" si="3"/>
        <v>48</v>
      </c>
      <c r="D405" s="22">
        <f>SUMIF(Reservas!C:C,A405,Reservas!I:I)</f>
        <v>0</v>
      </c>
    </row>
    <row r="406">
      <c r="A406" s="21">
        <v>46396.0</v>
      </c>
      <c r="B406" s="22">
        <f>SUMIF(Reservas!C:C,A406,Reservas!G:G)</f>
        <v>0</v>
      </c>
      <c r="C406" s="22">
        <f t="shared" si="3"/>
        <v>48</v>
      </c>
      <c r="D406" s="22">
        <f>SUMIF(Reservas!C:C,A406,Reservas!I:I)</f>
        <v>0</v>
      </c>
    </row>
    <row r="407">
      <c r="A407" s="21">
        <v>46397.0</v>
      </c>
      <c r="B407" s="22">
        <f>SUMIF(Reservas!C:C,A407,Reservas!G:G)</f>
        <v>0</v>
      </c>
      <c r="C407" s="22">
        <f t="shared" si="3"/>
        <v>48</v>
      </c>
      <c r="D407" s="22">
        <f>SUMIF(Reservas!C:C,A407,Reservas!I:I)</f>
        <v>0</v>
      </c>
    </row>
    <row r="408">
      <c r="A408" s="21">
        <v>46398.0</v>
      </c>
      <c r="B408" s="22">
        <f>SUMIF(Reservas!C:C,A408,Reservas!G:G)</f>
        <v>0</v>
      </c>
      <c r="C408" s="22">
        <f t="shared" si="3"/>
        <v>48</v>
      </c>
      <c r="D408" s="22">
        <f>SUMIF(Reservas!C:C,A408,Reservas!I:I)</f>
        <v>0</v>
      </c>
    </row>
    <row r="409">
      <c r="A409" s="21">
        <v>46399.0</v>
      </c>
      <c r="B409" s="22">
        <f>SUMIF(Reservas!C:C,A409,Reservas!G:G)</f>
        <v>0</v>
      </c>
      <c r="C409" s="22">
        <f t="shared" si="3"/>
        <v>48</v>
      </c>
      <c r="D409" s="22">
        <f>SUMIF(Reservas!C:C,A409,Reservas!I:I)</f>
        <v>0</v>
      </c>
    </row>
    <row r="410">
      <c r="A410" s="21">
        <v>46400.0</v>
      </c>
      <c r="B410" s="22">
        <f>SUMIF(Reservas!C:C,A410,Reservas!G:G)</f>
        <v>0</v>
      </c>
      <c r="C410" s="22">
        <f t="shared" si="3"/>
        <v>48</v>
      </c>
      <c r="D410" s="22">
        <f>SUMIF(Reservas!C:C,A410,Reservas!I:I)</f>
        <v>0</v>
      </c>
    </row>
    <row r="411">
      <c r="A411" s="21">
        <v>46401.0</v>
      </c>
      <c r="B411" s="22">
        <f>SUMIF(Reservas!C:C,A411,Reservas!G:G)</f>
        <v>0</v>
      </c>
      <c r="C411" s="22">
        <f t="shared" si="3"/>
        <v>48</v>
      </c>
      <c r="D411" s="22">
        <f>SUMIF(Reservas!C:C,A411,Reservas!I:I)</f>
        <v>0</v>
      </c>
    </row>
    <row r="412">
      <c r="A412" s="21">
        <v>46402.0</v>
      </c>
      <c r="B412" s="22">
        <f>SUMIF(Reservas!C:C,A412,Reservas!G:G)</f>
        <v>0</v>
      </c>
      <c r="C412" s="22">
        <f t="shared" si="3"/>
        <v>48</v>
      </c>
      <c r="D412" s="22">
        <f>SUMIF(Reservas!C:C,A412,Reservas!I:I)</f>
        <v>0</v>
      </c>
    </row>
    <row r="413">
      <c r="A413" s="21">
        <v>46403.0</v>
      </c>
      <c r="B413" s="22">
        <f>SUMIF(Reservas!C:C,A413,Reservas!G:G)</f>
        <v>0</v>
      </c>
      <c r="C413" s="22">
        <f t="shared" si="3"/>
        <v>48</v>
      </c>
      <c r="D413" s="22">
        <f>SUMIF(Reservas!C:C,A413,Reservas!I:I)</f>
        <v>0</v>
      </c>
    </row>
    <row r="414">
      <c r="A414" s="21">
        <v>46404.0</v>
      </c>
      <c r="B414" s="22">
        <f>SUMIF(Reservas!C:C,A414,Reservas!G:G)</f>
        <v>0</v>
      </c>
      <c r="C414" s="22">
        <f t="shared" si="3"/>
        <v>48</v>
      </c>
      <c r="D414" s="22">
        <f>SUMIF(Reservas!C:C,A414,Reservas!I:I)</f>
        <v>0</v>
      </c>
    </row>
    <row r="415">
      <c r="A415" s="21">
        <v>46405.0</v>
      </c>
      <c r="B415" s="22">
        <f>SUMIF(Reservas!C:C,A415,Reservas!G:G)</f>
        <v>0</v>
      </c>
      <c r="C415" s="22">
        <f t="shared" si="3"/>
        <v>48</v>
      </c>
      <c r="D415" s="22">
        <f>SUMIF(Reservas!C:C,A415,Reservas!I:I)</f>
        <v>0</v>
      </c>
    </row>
    <row r="416">
      <c r="A416" s="21">
        <v>46406.0</v>
      </c>
      <c r="B416" s="22">
        <f>SUMIF(Reservas!C:C,A416,Reservas!G:G)</f>
        <v>0</v>
      </c>
      <c r="C416" s="22">
        <f t="shared" si="3"/>
        <v>48</v>
      </c>
      <c r="D416" s="22">
        <f>SUMIF(Reservas!C:C,A416,Reservas!I:I)</f>
        <v>0</v>
      </c>
    </row>
    <row r="417">
      <c r="A417" s="21">
        <v>46407.0</v>
      </c>
      <c r="B417" s="22">
        <f>SUMIF(Reservas!C:C,A417,Reservas!G:G)</f>
        <v>0</v>
      </c>
      <c r="C417" s="22">
        <f t="shared" si="3"/>
        <v>48</v>
      </c>
      <c r="D417" s="22">
        <f>SUMIF(Reservas!C:C,A417,Reservas!I:I)</f>
        <v>0</v>
      </c>
    </row>
    <row r="418">
      <c r="A418" s="21">
        <v>46408.0</v>
      </c>
      <c r="B418" s="22">
        <f>SUMIF(Reservas!C:C,A418,Reservas!G:G)</f>
        <v>0</v>
      </c>
      <c r="C418" s="22">
        <f t="shared" si="3"/>
        <v>48</v>
      </c>
      <c r="D418" s="22">
        <f>SUMIF(Reservas!C:C,A418,Reservas!I:I)</f>
        <v>0</v>
      </c>
    </row>
    <row r="419">
      <c r="A419" s="21">
        <v>46409.0</v>
      </c>
      <c r="B419" s="22">
        <f>SUMIF(Reservas!C:C,A419,Reservas!G:G)</f>
        <v>0</v>
      </c>
      <c r="C419" s="22">
        <f t="shared" si="3"/>
        <v>48</v>
      </c>
      <c r="D419" s="22">
        <f>SUMIF(Reservas!C:C,A419,Reservas!I:I)</f>
        <v>0</v>
      </c>
    </row>
    <row r="420">
      <c r="A420" s="21">
        <v>46410.0</v>
      </c>
      <c r="B420" s="22">
        <f>SUMIF(Reservas!C:C,A420,Reservas!G:G)</f>
        <v>0</v>
      </c>
      <c r="C420" s="22">
        <f t="shared" si="3"/>
        <v>48</v>
      </c>
      <c r="D420" s="22">
        <f>SUMIF(Reservas!C:C,A420,Reservas!I:I)</f>
        <v>0</v>
      </c>
    </row>
    <row r="421">
      <c r="A421" s="21">
        <v>46411.0</v>
      </c>
      <c r="B421" s="22">
        <f>SUMIF(Reservas!C:C,A421,Reservas!G:G)</f>
        <v>0</v>
      </c>
      <c r="C421" s="22">
        <f t="shared" si="3"/>
        <v>48</v>
      </c>
      <c r="D421" s="22">
        <f>SUMIF(Reservas!C:C,A421,Reservas!I:I)</f>
        <v>0</v>
      </c>
    </row>
    <row r="422">
      <c r="A422" s="21">
        <v>46412.0</v>
      </c>
      <c r="B422" s="22">
        <f>SUMIF(Reservas!C:C,A422,Reservas!G:G)</f>
        <v>0</v>
      </c>
      <c r="C422" s="22">
        <f t="shared" si="3"/>
        <v>48</v>
      </c>
      <c r="D422" s="22">
        <f>SUMIF(Reservas!C:C,A422,Reservas!I:I)</f>
        <v>0</v>
      </c>
    </row>
    <row r="423">
      <c r="A423" s="21">
        <v>46413.0</v>
      </c>
      <c r="B423" s="22">
        <f>SUMIF(Reservas!C:C,A423,Reservas!G:G)</f>
        <v>0</v>
      </c>
      <c r="C423" s="22">
        <f t="shared" si="3"/>
        <v>48</v>
      </c>
      <c r="D423" s="22">
        <f>SUMIF(Reservas!C:C,A423,Reservas!I:I)</f>
        <v>0</v>
      </c>
    </row>
    <row r="424">
      <c r="A424" s="21">
        <v>46414.0</v>
      </c>
      <c r="B424" s="22">
        <f>SUMIF(Reservas!C:C,A424,Reservas!G:G)</f>
        <v>0</v>
      </c>
      <c r="C424" s="22">
        <f t="shared" si="3"/>
        <v>48</v>
      </c>
      <c r="D424" s="22">
        <f>SUMIF(Reservas!C:C,A424,Reservas!I:I)</f>
        <v>0</v>
      </c>
    </row>
    <row r="425">
      <c r="A425" s="21">
        <v>46415.0</v>
      </c>
      <c r="B425" s="22">
        <f>SUMIF(Reservas!C:C,A425,Reservas!G:G)</f>
        <v>0</v>
      </c>
      <c r="C425" s="22">
        <f t="shared" si="3"/>
        <v>48</v>
      </c>
      <c r="D425" s="22">
        <f>SUMIF(Reservas!C:C,A425,Reservas!I:I)</f>
        <v>0</v>
      </c>
    </row>
    <row r="426">
      <c r="A426" s="21">
        <v>46416.0</v>
      </c>
      <c r="B426" s="22">
        <f>SUMIF(Reservas!C:C,A426,Reservas!G:G)</f>
        <v>0</v>
      </c>
      <c r="C426" s="22">
        <f t="shared" si="3"/>
        <v>48</v>
      </c>
      <c r="D426" s="22">
        <f>SUMIF(Reservas!C:C,A426,Reservas!I:I)</f>
        <v>0</v>
      </c>
    </row>
    <row r="427">
      <c r="A427" s="21">
        <v>46417.0</v>
      </c>
      <c r="B427" s="22">
        <f>SUMIF(Reservas!C:C,A427,Reservas!G:G)</f>
        <v>0</v>
      </c>
      <c r="C427" s="22">
        <f t="shared" si="3"/>
        <v>48</v>
      </c>
      <c r="D427" s="22">
        <f>SUMIF(Reservas!C:C,A427,Reservas!I:I)</f>
        <v>0</v>
      </c>
    </row>
    <row r="428">
      <c r="A428" s="21">
        <v>46418.0</v>
      </c>
      <c r="B428" s="22">
        <f>SUMIF(Reservas!C:C,A428,Reservas!G:G)</f>
        <v>0</v>
      </c>
      <c r="C428" s="22">
        <f t="shared" si="3"/>
        <v>48</v>
      </c>
      <c r="D428" s="22">
        <f>SUMIF(Reservas!C:C,A428,Reservas!I:I)</f>
        <v>0</v>
      </c>
    </row>
    <row r="429">
      <c r="A429" s="21">
        <v>46419.0</v>
      </c>
      <c r="B429" s="22">
        <f>SUMIF(Reservas!C:C,A429,Reservas!G:G)</f>
        <v>0</v>
      </c>
      <c r="C429" s="22">
        <f t="shared" si="3"/>
        <v>48</v>
      </c>
      <c r="D429" s="22">
        <f>SUMIF(Reservas!C:C,A429,Reservas!I:I)</f>
        <v>0</v>
      </c>
    </row>
    <row r="430">
      <c r="A430" s="21">
        <v>46420.0</v>
      </c>
      <c r="B430" s="22">
        <f>SUMIF(Reservas!C:C,A430,Reservas!G:G)</f>
        <v>0</v>
      </c>
      <c r="C430" s="22">
        <f t="shared" si="3"/>
        <v>48</v>
      </c>
      <c r="D430" s="22">
        <f>SUMIF(Reservas!C:C,A430,Reservas!I:I)</f>
        <v>0</v>
      </c>
    </row>
    <row r="431">
      <c r="A431" s="21">
        <v>46421.0</v>
      </c>
      <c r="B431" s="22">
        <f>SUMIF(Reservas!C:C,A431,Reservas!G:G)</f>
        <v>0</v>
      </c>
      <c r="C431" s="22">
        <f t="shared" si="3"/>
        <v>48</v>
      </c>
      <c r="D431" s="22">
        <f>SUMIF(Reservas!C:C,A431,Reservas!I:I)</f>
        <v>0</v>
      </c>
    </row>
    <row r="432">
      <c r="A432" s="21">
        <v>46422.0</v>
      </c>
      <c r="B432" s="22">
        <f>SUMIF(Reservas!C:C,A432,Reservas!G:G)</f>
        <v>0</v>
      </c>
      <c r="C432" s="22">
        <f t="shared" si="3"/>
        <v>48</v>
      </c>
      <c r="D432" s="22">
        <f>SUMIF(Reservas!C:C,A432,Reservas!I:I)</f>
        <v>0</v>
      </c>
    </row>
    <row r="433">
      <c r="A433" s="21">
        <v>46423.0</v>
      </c>
      <c r="B433" s="22">
        <f>SUMIF(Reservas!C:C,A433,Reservas!G:G)</f>
        <v>0</v>
      </c>
      <c r="C433" s="22">
        <f t="shared" si="3"/>
        <v>48</v>
      </c>
      <c r="D433" s="22">
        <f>SUMIF(Reservas!C:C,A433,Reservas!I:I)</f>
        <v>0</v>
      </c>
    </row>
    <row r="434">
      <c r="A434" s="21">
        <v>46424.0</v>
      </c>
      <c r="B434" s="22">
        <f>SUMIF(Reservas!C:C,A434,Reservas!G:G)</f>
        <v>0</v>
      </c>
      <c r="C434" s="22">
        <f t="shared" si="3"/>
        <v>48</v>
      </c>
      <c r="D434" s="22">
        <f>SUMIF(Reservas!C:C,A434,Reservas!I:I)</f>
        <v>0</v>
      </c>
    </row>
    <row r="435">
      <c r="A435" s="21">
        <v>46425.0</v>
      </c>
      <c r="B435" s="22">
        <f>SUMIF(Reservas!C:C,A435,Reservas!G:G)</f>
        <v>0</v>
      </c>
      <c r="C435" s="22">
        <f t="shared" si="3"/>
        <v>48</v>
      </c>
      <c r="D435" s="22">
        <f>SUMIF(Reservas!C:C,A435,Reservas!I:I)</f>
        <v>0</v>
      </c>
    </row>
    <row r="436">
      <c r="A436" s="21">
        <v>46426.0</v>
      </c>
      <c r="B436" s="22">
        <f>SUMIF(Reservas!C:C,A436,Reservas!G:G)</f>
        <v>0</v>
      </c>
      <c r="C436" s="22">
        <f t="shared" si="3"/>
        <v>48</v>
      </c>
      <c r="D436" s="22">
        <f>SUMIF(Reservas!C:C,A436,Reservas!I:I)</f>
        <v>0</v>
      </c>
    </row>
    <row r="437">
      <c r="A437" s="21">
        <v>46427.0</v>
      </c>
      <c r="B437" s="22">
        <f>SUMIF(Reservas!C:C,A437,Reservas!G:G)</f>
        <v>0</v>
      </c>
      <c r="C437" s="22">
        <f t="shared" si="3"/>
        <v>48</v>
      </c>
      <c r="D437" s="22">
        <f>SUMIF(Reservas!C:C,A437,Reservas!I:I)</f>
        <v>0</v>
      </c>
    </row>
    <row r="438">
      <c r="A438" s="21">
        <v>46428.0</v>
      </c>
      <c r="B438" s="22">
        <f>SUMIF(Reservas!C:C,A438,Reservas!G:G)</f>
        <v>0</v>
      </c>
      <c r="C438" s="22">
        <f t="shared" si="3"/>
        <v>48</v>
      </c>
      <c r="D438" s="22">
        <f>SUMIF(Reservas!C:C,A438,Reservas!I:I)</f>
        <v>0</v>
      </c>
    </row>
    <row r="439">
      <c r="A439" s="21">
        <v>46429.0</v>
      </c>
      <c r="B439" s="22">
        <f>SUMIF(Reservas!C:C,A439,Reservas!G:G)</f>
        <v>0</v>
      </c>
      <c r="C439" s="22">
        <f t="shared" si="3"/>
        <v>48</v>
      </c>
      <c r="D439" s="22">
        <f>SUMIF(Reservas!C:C,A439,Reservas!I:I)</f>
        <v>0</v>
      </c>
    </row>
    <row r="440">
      <c r="A440" s="21">
        <v>46430.0</v>
      </c>
      <c r="B440" s="22">
        <f>SUMIF(Reservas!C:C,A440,Reservas!G:G)</f>
        <v>0</v>
      </c>
      <c r="C440" s="22">
        <f t="shared" si="3"/>
        <v>48</v>
      </c>
      <c r="D440" s="22">
        <f>SUMIF(Reservas!C:C,A440,Reservas!I:I)</f>
        <v>0</v>
      </c>
    </row>
    <row r="441">
      <c r="A441" s="21">
        <v>46431.0</v>
      </c>
      <c r="B441" s="22">
        <f>SUMIF(Reservas!C:C,A441,Reservas!G:G)</f>
        <v>0</v>
      </c>
      <c r="C441" s="22">
        <f t="shared" si="3"/>
        <v>48</v>
      </c>
      <c r="D441" s="22">
        <f>SUMIF(Reservas!C:C,A441,Reservas!I:I)</f>
        <v>0</v>
      </c>
    </row>
    <row r="442">
      <c r="A442" s="21">
        <v>46432.0</v>
      </c>
      <c r="B442" s="22">
        <f>SUMIF(Reservas!C:C,A442,Reservas!G:G)</f>
        <v>0</v>
      </c>
      <c r="C442" s="22">
        <f t="shared" si="3"/>
        <v>48</v>
      </c>
      <c r="D442" s="22">
        <f>SUMIF(Reservas!C:C,A442,Reservas!I:I)</f>
        <v>0</v>
      </c>
    </row>
    <row r="443">
      <c r="A443" s="21">
        <v>46433.0</v>
      </c>
      <c r="B443" s="22">
        <f>SUMIF(Reservas!C:C,A443,Reservas!G:G)</f>
        <v>0</v>
      </c>
      <c r="C443" s="22">
        <f t="shared" si="3"/>
        <v>48</v>
      </c>
      <c r="D443" s="22">
        <f>SUMIF(Reservas!C:C,A443,Reservas!I:I)</f>
        <v>0</v>
      </c>
    </row>
    <row r="444">
      <c r="A444" s="21">
        <v>46434.0</v>
      </c>
      <c r="B444" s="22">
        <f>SUMIF(Reservas!C:C,A444,Reservas!G:G)</f>
        <v>0</v>
      </c>
      <c r="C444" s="22">
        <f t="shared" si="3"/>
        <v>48</v>
      </c>
      <c r="D444" s="22">
        <f>SUMIF(Reservas!C:C,A444,Reservas!I:I)</f>
        <v>0</v>
      </c>
    </row>
    <row r="445">
      <c r="A445" s="21">
        <v>46435.0</v>
      </c>
      <c r="B445" s="22">
        <f>SUMIF(Reservas!C:C,A445,Reservas!G:G)</f>
        <v>0</v>
      </c>
      <c r="C445" s="22">
        <f t="shared" si="3"/>
        <v>48</v>
      </c>
      <c r="D445" s="22">
        <f>SUMIF(Reservas!C:C,A445,Reservas!I:I)</f>
        <v>0</v>
      </c>
    </row>
    <row r="446">
      <c r="A446" s="21">
        <v>46436.0</v>
      </c>
      <c r="B446" s="22">
        <f>SUMIF(Reservas!C:C,A446,Reservas!G:G)</f>
        <v>0</v>
      </c>
      <c r="C446" s="22">
        <f t="shared" si="3"/>
        <v>48</v>
      </c>
      <c r="D446" s="22">
        <f>SUMIF(Reservas!C:C,A446,Reservas!I:I)</f>
        <v>0</v>
      </c>
    </row>
    <row r="447">
      <c r="A447" s="21">
        <v>46437.0</v>
      </c>
      <c r="B447" s="22">
        <f>SUMIF(Reservas!C:C,A447,Reservas!G:G)</f>
        <v>0</v>
      </c>
      <c r="C447" s="22">
        <f t="shared" si="3"/>
        <v>48</v>
      </c>
      <c r="D447" s="22">
        <f>SUMIF(Reservas!C:C,A447,Reservas!I:I)</f>
        <v>0</v>
      </c>
    </row>
    <row r="448">
      <c r="A448" s="21">
        <v>46438.0</v>
      </c>
      <c r="B448" s="22">
        <f>SUMIF(Reservas!C:C,A448,Reservas!G:G)</f>
        <v>0</v>
      </c>
      <c r="C448" s="22">
        <f t="shared" si="3"/>
        <v>48</v>
      </c>
      <c r="D448" s="22">
        <f>SUMIF(Reservas!C:C,A448,Reservas!I:I)</f>
        <v>0</v>
      </c>
    </row>
    <row r="449">
      <c r="A449" s="21">
        <v>46439.0</v>
      </c>
      <c r="B449" s="22">
        <f>SUMIF(Reservas!C:C,A449,Reservas!G:G)</f>
        <v>0</v>
      </c>
      <c r="C449" s="22">
        <f t="shared" si="3"/>
        <v>48</v>
      </c>
      <c r="D449" s="22">
        <f>SUMIF(Reservas!C:C,A449,Reservas!I:I)</f>
        <v>0</v>
      </c>
    </row>
    <row r="450">
      <c r="A450" s="21">
        <v>46440.0</v>
      </c>
      <c r="B450" s="22">
        <f>SUMIF(Reservas!C:C,A450,Reservas!G:G)</f>
        <v>0</v>
      </c>
      <c r="C450" s="22">
        <f t="shared" si="3"/>
        <v>48</v>
      </c>
      <c r="D450" s="22">
        <f>SUMIF(Reservas!C:C,A450,Reservas!I:I)</f>
        <v>0</v>
      </c>
    </row>
    <row r="451">
      <c r="A451" s="21">
        <v>46441.0</v>
      </c>
      <c r="B451" s="22">
        <f>SUMIF(Reservas!C:C,A451,Reservas!G:G)</f>
        <v>0</v>
      </c>
      <c r="C451" s="22">
        <f t="shared" si="3"/>
        <v>48</v>
      </c>
      <c r="D451" s="22">
        <f>SUMIF(Reservas!C:C,A451,Reservas!I:I)</f>
        <v>0</v>
      </c>
    </row>
    <row r="452">
      <c r="A452" s="21">
        <v>46442.0</v>
      </c>
      <c r="B452" s="22">
        <f>SUMIF(Reservas!C:C,A452,Reservas!G:G)</f>
        <v>0</v>
      </c>
      <c r="C452" s="22">
        <f t="shared" si="3"/>
        <v>48</v>
      </c>
      <c r="D452" s="22">
        <f>SUMIF(Reservas!C:C,A452,Reservas!I:I)</f>
        <v>0</v>
      </c>
    </row>
    <row r="453">
      <c r="A453" s="21">
        <v>46443.0</v>
      </c>
      <c r="B453" s="22">
        <f>SUMIF(Reservas!C:C,A453,Reservas!G:G)</f>
        <v>0</v>
      </c>
      <c r="C453" s="22">
        <f t="shared" si="3"/>
        <v>48</v>
      </c>
      <c r="D453" s="22">
        <f>SUMIF(Reservas!C:C,A453,Reservas!I:I)</f>
        <v>0</v>
      </c>
    </row>
    <row r="454">
      <c r="A454" s="21">
        <v>46444.0</v>
      </c>
      <c r="B454" s="22">
        <f>SUMIF(Reservas!C:C,A454,Reservas!G:G)</f>
        <v>0</v>
      </c>
      <c r="C454" s="22">
        <f t="shared" si="3"/>
        <v>48</v>
      </c>
      <c r="D454" s="22">
        <f>SUMIF(Reservas!C:C,A454,Reservas!I:I)</f>
        <v>0</v>
      </c>
    </row>
    <row r="455">
      <c r="A455" s="21">
        <v>46445.0</v>
      </c>
      <c r="B455" s="22">
        <f>SUMIF(Reservas!C:C,A455,Reservas!G:G)</f>
        <v>0</v>
      </c>
      <c r="C455" s="22">
        <f t="shared" si="3"/>
        <v>48</v>
      </c>
      <c r="D455" s="22">
        <f>SUMIF(Reservas!C:C,A455,Reservas!I:I)</f>
        <v>0</v>
      </c>
    </row>
    <row r="456">
      <c r="A456" s="21">
        <v>46446.0</v>
      </c>
      <c r="B456" s="22">
        <f>SUMIF(Reservas!C:C,A456,Reservas!G:G)</f>
        <v>0</v>
      </c>
      <c r="C456" s="22">
        <f t="shared" si="3"/>
        <v>48</v>
      </c>
      <c r="D456" s="22">
        <f>SUMIF(Reservas!C:C,A456,Reservas!I:I)</f>
        <v>0</v>
      </c>
    </row>
    <row r="457">
      <c r="A457" s="21">
        <v>46447.0</v>
      </c>
      <c r="B457" s="22">
        <f>SUMIF(Reservas!C:C,A457,Reservas!G:G)</f>
        <v>0</v>
      </c>
      <c r="C457" s="22">
        <f t="shared" si="3"/>
        <v>48</v>
      </c>
      <c r="D457" s="22">
        <f>SUMIF(Reservas!C:C,A457,Reservas!I:I)</f>
        <v>0</v>
      </c>
    </row>
    <row r="458">
      <c r="A458" s="21">
        <v>46448.0</v>
      </c>
      <c r="B458" s="22">
        <f>SUMIF(Reservas!C:C,A458,Reservas!G:G)</f>
        <v>0</v>
      </c>
      <c r="C458" s="22">
        <f t="shared" si="3"/>
        <v>48</v>
      </c>
      <c r="D458" s="22">
        <f>SUMIF(Reservas!C:C,A458,Reservas!I:I)</f>
        <v>0</v>
      </c>
    </row>
    <row r="459">
      <c r="A459" s="21">
        <v>46449.0</v>
      </c>
      <c r="B459" s="22">
        <f>SUMIF(Reservas!C:C,A459,Reservas!G:G)</f>
        <v>0</v>
      </c>
      <c r="C459" s="22">
        <f t="shared" si="3"/>
        <v>48</v>
      </c>
      <c r="D459" s="22">
        <f>SUMIF(Reservas!C:C,A459,Reservas!I:I)</f>
        <v>0</v>
      </c>
    </row>
    <row r="460">
      <c r="A460" s="21">
        <v>46450.0</v>
      </c>
      <c r="B460" s="22">
        <f>SUMIF(Reservas!C:C,A460,Reservas!G:G)</f>
        <v>0</v>
      </c>
      <c r="C460" s="22">
        <f t="shared" si="3"/>
        <v>48</v>
      </c>
      <c r="D460" s="22">
        <f>SUMIF(Reservas!C:C,A460,Reservas!I:I)</f>
        <v>0</v>
      </c>
    </row>
    <row r="461">
      <c r="A461" s="21">
        <v>46451.0</v>
      </c>
      <c r="B461" s="22">
        <f>SUMIF(Reservas!C:C,A461,Reservas!G:G)</f>
        <v>0</v>
      </c>
      <c r="C461" s="22">
        <f t="shared" si="3"/>
        <v>48</v>
      </c>
      <c r="D461" s="22">
        <f>SUMIF(Reservas!C:C,A461,Reservas!I:I)</f>
        <v>0</v>
      </c>
    </row>
    <row r="462">
      <c r="A462" s="21">
        <v>46452.0</v>
      </c>
      <c r="B462" s="22">
        <f>SUMIF(Reservas!C:C,A462,Reservas!G:G)</f>
        <v>0</v>
      </c>
      <c r="C462" s="22">
        <f t="shared" si="3"/>
        <v>48</v>
      </c>
      <c r="D462" s="22">
        <f>SUMIF(Reservas!C:C,A462,Reservas!I:I)</f>
        <v>0</v>
      </c>
    </row>
    <row r="463">
      <c r="A463" s="21">
        <v>46453.0</v>
      </c>
      <c r="B463" s="22">
        <f>SUMIF(Reservas!C:C,A463,Reservas!G:G)</f>
        <v>0</v>
      </c>
      <c r="C463" s="22">
        <f t="shared" si="3"/>
        <v>48</v>
      </c>
      <c r="D463" s="22">
        <f>SUMIF(Reservas!C:C,A463,Reservas!I:I)</f>
        <v>0</v>
      </c>
    </row>
    <row r="464">
      <c r="A464" s="21">
        <v>46454.0</v>
      </c>
      <c r="B464" s="22">
        <f>SUMIF(Reservas!C:C,A464,Reservas!G:G)</f>
        <v>0</v>
      </c>
      <c r="C464" s="22">
        <f t="shared" si="3"/>
        <v>48</v>
      </c>
      <c r="D464" s="22">
        <f>SUMIF(Reservas!C:C,A464,Reservas!I:I)</f>
        <v>0</v>
      </c>
    </row>
    <row r="465">
      <c r="A465" s="21">
        <v>46455.0</v>
      </c>
      <c r="B465" s="22">
        <f>SUMIF(Reservas!C:C,A465,Reservas!G:G)</f>
        <v>0</v>
      </c>
      <c r="C465" s="22">
        <f t="shared" si="3"/>
        <v>48</v>
      </c>
      <c r="D465" s="22">
        <f>SUMIF(Reservas!C:C,A465,Reservas!I:I)</f>
        <v>0</v>
      </c>
    </row>
    <row r="466">
      <c r="A466" s="21">
        <v>46456.0</v>
      </c>
      <c r="B466" s="22">
        <f>SUMIF(Reservas!C:C,A466,Reservas!G:G)</f>
        <v>0</v>
      </c>
      <c r="C466" s="22">
        <f t="shared" si="3"/>
        <v>48</v>
      </c>
      <c r="D466" s="22">
        <f>SUMIF(Reservas!C:C,A466,Reservas!I:I)</f>
        <v>0</v>
      </c>
    </row>
    <row r="467">
      <c r="A467" s="21">
        <v>46457.0</v>
      </c>
      <c r="B467" s="22">
        <f>SUMIF(Reservas!C:C,A467,Reservas!G:G)</f>
        <v>0</v>
      </c>
      <c r="C467" s="22">
        <f t="shared" si="3"/>
        <v>48</v>
      </c>
      <c r="D467" s="22">
        <f>SUMIF(Reservas!C:C,A467,Reservas!I:I)</f>
        <v>0</v>
      </c>
    </row>
    <row r="468">
      <c r="A468" s="21">
        <v>46458.0</v>
      </c>
      <c r="B468" s="22">
        <f>SUMIF(Reservas!C:C,A468,Reservas!G:G)</f>
        <v>0</v>
      </c>
      <c r="C468" s="22">
        <f t="shared" si="3"/>
        <v>48</v>
      </c>
      <c r="D468" s="22">
        <f>SUMIF(Reservas!C:C,A468,Reservas!I:I)</f>
        <v>0</v>
      </c>
    </row>
    <row r="469">
      <c r="A469" s="21">
        <v>46459.0</v>
      </c>
      <c r="B469" s="22">
        <f>SUMIF(Reservas!C:C,A469,Reservas!G:G)</f>
        <v>0</v>
      </c>
      <c r="C469" s="22">
        <f t="shared" si="3"/>
        <v>48</v>
      </c>
      <c r="D469" s="22">
        <f>SUMIF(Reservas!C:C,A469,Reservas!I:I)</f>
        <v>0</v>
      </c>
    </row>
    <row r="470">
      <c r="A470" s="21">
        <v>46460.0</v>
      </c>
      <c r="B470" s="22">
        <f>SUMIF(Reservas!C:C,A470,Reservas!G:G)</f>
        <v>0</v>
      </c>
      <c r="C470" s="22">
        <f t="shared" si="3"/>
        <v>48</v>
      </c>
      <c r="D470" s="22">
        <f>SUMIF(Reservas!C:C,A470,Reservas!I:I)</f>
        <v>0</v>
      </c>
    </row>
    <row r="471">
      <c r="A471" s="21">
        <v>46461.0</v>
      </c>
      <c r="B471" s="22">
        <f>SUMIF(Reservas!C:C,A471,Reservas!G:G)</f>
        <v>0</v>
      </c>
      <c r="C471" s="22">
        <f t="shared" si="3"/>
        <v>48</v>
      </c>
      <c r="D471" s="22">
        <f>SUMIF(Reservas!C:C,A471,Reservas!I:I)</f>
        <v>0</v>
      </c>
    </row>
    <row r="472">
      <c r="A472" s="21">
        <v>46462.0</v>
      </c>
      <c r="B472" s="22">
        <f>SUMIF(Reservas!C:C,A472,Reservas!G:G)</f>
        <v>0</v>
      </c>
      <c r="C472" s="22">
        <f t="shared" si="3"/>
        <v>48</v>
      </c>
      <c r="D472" s="22">
        <f>SUMIF(Reservas!C:C,A472,Reservas!I:I)</f>
        <v>0</v>
      </c>
    </row>
    <row r="473">
      <c r="A473" s="21">
        <v>46463.0</v>
      </c>
      <c r="B473" s="22">
        <f>SUMIF(Reservas!C:C,A473,Reservas!G:G)</f>
        <v>0</v>
      </c>
      <c r="C473" s="22">
        <f t="shared" si="3"/>
        <v>48</v>
      </c>
      <c r="D473" s="22">
        <f>SUMIF(Reservas!C:C,A473,Reservas!I:I)</f>
        <v>0</v>
      </c>
    </row>
    <row r="474">
      <c r="A474" s="21">
        <v>46464.0</v>
      </c>
      <c r="B474" s="22">
        <f>SUMIF(Reservas!C:C,A474,Reservas!G:G)</f>
        <v>0</v>
      </c>
      <c r="C474" s="22">
        <f t="shared" si="3"/>
        <v>48</v>
      </c>
      <c r="D474" s="22">
        <f>SUMIF(Reservas!C:C,A474,Reservas!I:I)</f>
        <v>0</v>
      </c>
    </row>
    <row r="475">
      <c r="A475" s="21">
        <v>46465.0</v>
      </c>
      <c r="B475" s="22">
        <f>SUMIF(Reservas!C:C,A475,Reservas!G:G)</f>
        <v>0</v>
      </c>
      <c r="C475" s="22">
        <f t="shared" si="3"/>
        <v>48</v>
      </c>
      <c r="D475" s="22">
        <f>SUMIF(Reservas!C:C,A475,Reservas!I:I)</f>
        <v>0</v>
      </c>
    </row>
    <row r="476">
      <c r="A476" s="21">
        <v>46466.0</v>
      </c>
      <c r="B476" s="22">
        <f>SUMIF(Reservas!C:C,A476,Reservas!G:G)</f>
        <v>0</v>
      </c>
      <c r="C476" s="22">
        <f t="shared" si="3"/>
        <v>48</v>
      </c>
      <c r="D476" s="22">
        <f>SUMIF(Reservas!C:C,A476,Reservas!I:I)</f>
        <v>0</v>
      </c>
    </row>
    <row r="477">
      <c r="A477" s="21">
        <v>46467.0</v>
      </c>
      <c r="B477" s="22">
        <f>SUMIF(Reservas!C:C,A477,Reservas!G:G)</f>
        <v>0</v>
      </c>
      <c r="C477" s="22">
        <f t="shared" si="3"/>
        <v>48</v>
      </c>
      <c r="D477" s="22">
        <f>SUMIF(Reservas!C:C,A477,Reservas!I:I)</f>
        <v>0</v>
      </c>
    </row>
    <row r="478">
      <c r="A478" s="21">
        <v>46468.0</v>
      </c>
      <c r="B478" s="22">
        <f>SUMIF(Reservas!C:C,A478,Reservas!G:G)</f>
        <v>0</v>
      </c>
      <c r="C478" s="22">
        <f t="shared" si="3"/>
        <v>48</v>
      </c>
      <c r="D478" s="22">
        <f>SUMIF(Reservas!C:C,A478,Reservas!I:I)</f>
        <v>0</v>
      </c>
    </row>
    <row r="479">
      <c r="A479" s="21">
        <v>46469.0</v>
      </c>
      <c r="B479" s="22">
        <f>SUMIF(Reservas!C:C,A479,Reservas!G:G)</f>
        <v>0</v>
      </c>
      <c r="C479" s="22">
        <f t="shared" si="3"/>
        <v>48</v>
      </c>
      <c r="D479" s="22">
        <f>SUMIF(Reservas!C:C,A479,Reservas!I:I)</f>
        <v>0</v>
      </c>
    </row>
    <row r="480">
      <c r="A480" s="21">
        <v>46470.0</v>
      </c>
      <c r="B480" s="22">
        <f>SUMIF(Reservas!C:C,A480,Reservas!G:G)</f>
        <v>0</v>
      </c>
      <c r="C480" s="22">
        <f t="shared" si="3"/>
        <v>48</v>
      </c>
      <c r="D480" s="22">
        <f>SUMIF(Reservas!C:C,A480,Reservas!I:I)</f>
        <v>0</v>
      </c>
    </row>
    <row r="481">
      <c r="A481" s="21">
        <v>46471.0</v>
      </c>
      <c r="B481" s="22">
        <f>SUMIF(Reservas!C:C,A481,Reservas!G:G)</f>
        <v>0</v>
      </c>
      <c r="C481" s="22">
        <f t="shared" si="3"/>
        <v>48</v>
      </c>
      <c r="D481" s="22">
        <f>SUMIF(Reservas!C:C,A481,Reservas!I:I)</f>
        <v>0</v>
      </c>
    </row>
    <row r="482">
      <c r="A482" s="21">
        <v>46472.0</v>
      </c>
      <c r="B482" s="22">
        <f>SUMIF(Reservas!C:C,A482,Reservas!G:G)</f>
        <v>0</v>
      </c>
      <c r="C482" s="22">
        <f t="shared" si="3"/>
        <v>48</v>
      </c>
      <c r="D482" s="22">
        <f>SUMIF(Reservas!C:C,A482,Reservas!I:I)</f>
        <v>0</v>
      </c>
    </row>
    <row r="483">
      <c r="A483" s="21">
        <v>46473.0</v>
      </c>
      <c r="B483" s="22">
        <f>SUMIF(Reservas!C:C,A483,Reservas!G:G)</f>
        <v>0</v>
      </c>
      <c r="C483" s="22">
        <f t="shared" si="3"/>
        <v>48</v>
      </c>
      <c r="D483" s="22">
        <f>SUMIF(Reservas!C:C,A483,Reservas!I:I)</f>
        <v>0</v>
      </c>
    </row>
    <row r="484">
      <c r="A484" s="21">
        <v>46474.0</v>
      </c>
      <c r="B484" s="22">
        <f>SUMIF(Reservas!C:C,A484,Reservas!G:G)</f>
        <v>0</v>
      </c>
      <c r="C484" s="22">
        <f t="shared" si="3"/>
        <v>48</v>
      </c>
      <c r="D484" s="22">
        <f>SUMIF(Reservas!C:C,A484,Reservas!I:I)</f>
        <v>0</v>
      </c>
    </row>
    <row r="485">
      <c r="A485" s="21">
        <v>46475.0</v>
      </c>
      <c r="B485" s="22">
        <f>SUMIF(Reservas!C:C,A485,Reservas!G:G)</f>
        <v>0</v>
      </c>
      <c r="C485" s="22">
        <f t="shared" si="3"/>
        <v>48</v>
      </c>
      <c r="D485" s="22">
        <f>SUMIF(Reservas!C:C,A485,Reservas!I:I)</f>
        <v>0</v>
      </c>
    </row>
    <row r="486">
      <c r="A486" s="21">
        <v>46476.0</v>
      </c>
      <c r="B486" s="22">
        <f>SUMIF(Reservas!C:C,A486,Reservas!G:G)</f>
        <v>0</v>
      </c>
      <c r="C486" s="22">
        <f t="shared" si="3"/>
        <v>48</v>
      </c>
      <c r="D486" s="22">
        <f>SUMIF(Reservas!C:C,A486,Reservas!I:I)</f>
        <v>0</v>
      </c>
    </row>
    <row r="487">
      <c r="A487" s="21">
        <v>46477.0</v>
      </c>
      <c r="B487" s="22">
        <f>SUMIF(Reservas!C:C,A487,Reservas!G:G)</f>
        <v>0</v>
      </c>
      <c r="C487" s="22">
        <f t="shared" si="3"/>
        <v>48</v>
      </c>
      <c r="D487" s="22">
        <f>SUMIF(Reservas!C:C,A487,Reservas!I:I)</f>
        <v>0</v>
      </c>
    </row>
    <row r="488">
      <c r="A488" s="21">
        <v>46478.0</v>
      </c>
      <c r="B488" s="22">
        <f>SUMIF(Reservas!C:C,A488,Reservas!G:G)</f>
        <v>0</v>
      </c>
      <c r="C488" s="22">
        <f t="shared" si="3"/>
        <v>48</v>
      </c>
      <c r="D488" s="22">
        <f>SUMIF(Reservas!C:C,A488,Reservas!I:I)</f>
        <v>0</v>
      </c>
    </row>
    <row r="489">
      <c r="A489" s="21">
        <v>46479.0</v>
      </c>
      <c r="B489" s="22">
        <f>SUMIF(Reservas!C:C,A489,Reservas!G:G)</f>
        <v>0</v>
      </c>
      <c r="C489" s="22">
        <f t="shared" si="3"/>
        <v>48</v>
      </c>
      <c r="D489" s="22">
        <f>SUMIF(Reservas!C:C,A489,Reservas!I:I)</f>
        <v>0</v>
      </c>
    </row>
    <row r="490">
      <c r="A490" s="21">
        <v>46480.0</v>
      </c>
      <c r="B490" s="22">
        <f>SUMIF(Reservas!C:C,A490,Reservas!G:G)</f>
        <v>0</v>
      </c>
      <c r="C490" s="22">
        <f t="shared" si="3"/>
        <v>48</v>
      </c>
      <c r="D490" s="22">
        <f>SUMIF(Reservas!C:C,A490,Reservas!I:I)</f>
        <v>0</v>
      </c>
    </row>
    <row r="491">
      <c r="A491" s="21">
        <v>46481.0</v>
      </c>
      <c r="B491" s="22">
        <f>SUMIF(Reservas!C:C,A491,Reservas!G:G)</f>
        <v>0</v>
      </c>
      <c r="C491" s="22">
        <f t="shared" si="3"/>
        <v>48</v>
      </c>
      <c r="D491" s="22">
        <f>SUMIF(Reservas!C:C,A491,Reservas!I:I)</f>
        <v>0</v>
      </c>
    </row>
    <row r="492">
      <c r="A492" s="21">
        <v>46482.0</v>
      </c>
      <c r="B492" s="22">
        <f>SUMIF(Reservas!C:C,A492,Reservas!G:G)</f>
        <v>0</v>
      </c>
      <c r="C492" s="22">
        <f t="shared" si="3"/>
        <v>48</v>
      </c>
      <c r="D492" s="22">
        <f>SUMIF(Reservas!C:C,A492,Reservas!I:I)</f>
        <v>0</v>
      </c>
    </row>
    <row r="493">
      <c r="A493" s="21">
        <v>46483.0</v>
      </c>
      <c r="B493" s="22">
        <f>SUMIF(Reservas!C:C,A493,Reservas!G:G)</f>
        <v>0</v>
      </c>
      <c r="C493" s="22">
        <f t="shared" si="3"/>
        <v>48</v>
      </c>
      <c r="D493" s="22">
        <f>SUMIF(Reservas!C:C,A493,Reservas!I:I)</f>
        <v>0</v>
      </c>
    </row>
    <row r="494">
      <c r="A494" s="21">
        <v>46484.0</v>
      </c>
      <c r="B494" s="22">
        <f>SUMIF(Reservas!C:C,A494,Reservas!G:G)</f>
        <v>0</v>
      </c>
      <c r="C494" s="22">
        <f t="shared" si="3"/>
        <v>48</v>
      </c>
      <c r="D494" s="22">
        <f>SUMIF(Reservas!C:C,A494,Reservas!I:I)</f>
        <v>0</v>
      </c>
    </row>
    <row r="495">
      <c r="A495" s="21">
        <v>46485.0</v>
      </c>
      <c r="B495" s="22">
        <f>SUMIF(Reservas!C:C,A495,Reservas!G:G)</f>
        <v>0</v>
      </c>
      <c r="C495" s="22">
        <f t="shared" si="3"/>
        <v>48</v>
      </c>
      <c r="D495" s="22">
        <f>SUMIF(Reservas!C:C,A495,Reservas!I:I)</f>
        <v>0</v>
      </c>
    </row>
    <row r="496">
      <c r="A496" s="21">
        <v>46486.0</v>
      </c>
      <c r="B496" s="22">
        <f>SUMIF(Reservas!C:C,A496,Reservas!G:G)</f>
        <v>0</v>
      </c>
      <c r="C496" s="22">
        <f t="shared" si="3"/>
        <v>48</v>
      </c>
      <c r="D496" s="22">
        <f>SUMIF(Reservas!C:C,A496,Reservas!I:I)</f>
        <v>0</v>
      </c>
    </row>
    <row r="497">
      <c r="A497" s="21">
        <v>46487.0</v>
      </c>
      <c r="B497" s="22">
        <f>SUMIF(Reservas!C:C,A497,Reservas!G:G)</f>
        <v>0</v>
      </c>
      <c r="C497" s="22">
        <f t="shared" si="3"/>
        <v>48</v>
      </c>
      <c r="D497" s="22">
        <f>SUMIF(Reservas!C:C,A497,Reservas!I:I)</f>
        <v>0</v>
      </c>
    </row>
    <row r="498">
      <c r="A498" s="21">
        <v>46488.0</v>
      </c>
      <c r="B498" s="22">
        <f>SUMIF(Reservas!C:C,A498,Reservas!G:G)</f>
        <v>0</v>
      </c>
      <c r="C498" s="22">
        <f t="shared" si="3"/>
        <v>48</v>
      </c>
      <c r="D498" s="22">
        <f>SUMIF(Reservas!C:C,A498,Reservas!I:I)</f>
        <v>0</v>
      </c>
    </row>
    <row r="499">
      <c r="A499" s="21">
        <v>46489.0</v>
      </c>
      <c r="B499" s="22">
        <f>SUMIF(Reservas!C:C,A499,Reservas!G:G)</f>
        <v>0</v>
      </c>
      <c r="C499" s="22">
        <f t="shared" si="3"/>
        <v>48</v>
      </c>
      <c r="D499" s="22">
        <f>SUMIF(Reservas!C:C,A499,Reservas!I:I)</f>
        <v>0</v>
      </c>
    </row>
    <row r="500">
      <c r="A500" s="21">
        <v>46490.0</v>
      </c>
      <c r="B500" s="22">
        <f>SUMIF(Reservas!C:C,A500,Reservas!G:G)</f>
        <v>0</v>
      </c>
      <c r="C500" s="22">
        <f t="shared" si="3"/>
        <v>48</v>
      </c>
      <c r="D500" s="22">
        <f>SUMIF(Reservas!C:C,A500,Reservas!I:I)</f>
        <v>0</v>
      </c>
    </row>
    <row r="501">
      <c r="A501" s="21">
        <v>46491.0</v>
      </c>
      <c r="B501" s="22">
        <f>SUMIF(Reservas!C:C,A501,Reservas!G:G)</f>
        <v>0</v>
      </c>
      <c r="C501" s="22">
        <f t="shared" si="3"/>
        <v>48</v>
      </c>
      <c r="D501" s="22">
        <f>SUMIF(Reservas!C:C,A501,Reservas!I:I)</f>
        <v>0</v>
      </c>
    </row>
    <row r="502">
      <c r="A502" s="21">
        <v>46492.0</v>
      </c>
      <c r="B502" s="22">
        <f>SUMIF(Reservas!C:C,A502,Reservas!G:G)</f>
        <v>0</v>
      </c>
      <c r="C502" s="22">
        <f t="shared" si="3"/>
        <v>48</v>
      </c>
      <c r="D502" s="22">
        <f>SUMIF(Reservas!C:C,A502,Reservas!I:I)</f>
        <v>0</v>
      </c>
    </row>
    <row r="503">
      <c r="A503" s="21">
        <v>46493.0</v>
      </c>
      <c r="B503" s="22">
        <f>SUMIF(Reservas!C:C,A503,Reservas!G:G)</f>
        <v>0</v>
      </c>
      <c r="C503" s="22">
        <f t="shared" si="3"/>
        <v>48</v>
      </c>
      <c r="D503" s="22">
        <f>SUMIF(Reservas!C:C,A503,Reservas!I:I)</f>
        <v>0</v>
      </c>
    </row>
    <row r="504">
      <c r="A504" s="21">
        <v>46494.0</v>
      </c>
      <c r="B504" s="22">
        <f>SUMIF(Reservas!C:C,A504,Reservas!G:G)</f>
        <v>0</v>
      </c>
      <c r="C504" s="22">
        <f t="shared" si="3"/>
        <v>48</v>
      </c>
      <c r="D504" s="22">
        <f>SUMIF(Reservas!C:C,A504,Reservas!I:I)</f>
        <v>0</v>
      </c>
    </row>
    <row r="505">
      <c r="A505" s="21">
        <v>46495.0</v>
      </c>
      <c r="B505" s="22">
        <f>SUMIF(Reservas!C:C,A505,Reservas!G:G)</f>
        <v>0</v>
      </c>
      <c r="C505" s="22">
        <f t="shared" si="3"/>
        <v>48</v>
      </c>
      <c r="D505" s="22">
        <f>SUMIF(Reservas!C:C,A505,Reservas!I:I)</f>
        <v>0</v>
      </c>
    </row>
    <row r="506">
      <c r="A506" s="21">
        <v>46496.0</v>
      </c>
      <c r="B506" s="22">
        <f>SUMIF(Reservas!C:C,A506,Reservas!G:G)</f>
        <v>0</v>
      </c>
      <c r="C506" s="22">
        <f t="shared" si="3"/>
        <v>48</v>
      </c>
      <c r="D506" s="22">
        <f>SUMIF(Reservas!C:C,A506,Reservas!I:I)</f>
        <v>0</v>
      </c>
    </row>
    <row r="507">
      <c r="A507" s="21">
        <v>46497.0</v>
      </c>
      <c r="B507" s="22">
        <f>SUMIF(Reservas!C:C,A507,Reservas!G:G)</f>
        <v>0</v>
      </c>
      <c r="C507" s="22">
        <f t="shared" si="3"/>
        <v>48</v>
      </c>
      <c r="D507" s="22">
        <f>SUMIF(Reservas!C:C,A507,Reservas!I:I)</f>
        <v>0</v>
      </c>
    </row>
    <row r="508">
      <c r="A508" s="21">
        <v>46498.0</v>
      </c>
      <c r="B508" s="22">
        <f>SUMIF(Reservas!C:C,A508,Reservas!G:G)</f>
        <v>0</v>
      </c>
      <c r="C508" s="22">
        <f t="shared" si="3"/>
        <v>48</v>
      </c>
      <c r="D508" s="22">
        <f>SUMIF(Reservas!C:C,A508,Reservas!I:I)</f>
        <v>0</v>
      </c>
    </row>
    <row r="509">
      <c r="A509" s="21">
        <v>46499.0</v>
      </c>
      <c r="B509" s="22">
        <f>SUMIF(Reservas!C:C,A509,Reservas!G:G)</f>
        <v>0</v>
      </c>
      <c r="C509" s="22">
        <f t="shared" si="3"/>
        <v>48</v>
      </c>
      <c r="D509" s="22">
        <f>SUMIF(Reservas!C:C,A509,Reservas!I:I)</f>
        <v>0</v>
      </c>
    </row>
    <row r="510">
      <c r="A510" s="21">
        <v>46500.0</v>
      </c>
      <c r="B510" s="22">
        <f>SUMIF(Reservas!C:C,A510,Reservas!G:G)</f>
        <v>0</v>
      </c>
      <c r="C510" s="22">
        <f t="shared" si="3"/>
        <v>48</v>
      </c>
      <c r="D510" s="22">
        <f>SUMIF(Reservas!C:C,A510,Reservas!I:I)</f>
        <v>0</v>
      </c>
    </row>
    <row r="511">
      <c r="A511" s="21">
        <v>46501.0</v>
      </c>
      <c r="B511" s="22">
        <f>SUMIF(Reservas!C:C,A511,Reservas!G:G)</f>
        <v>0</v>
      </c>
      <c r="C511" s="22">
        <f t="shared" si="3"/>
        <v>48</v>
      </c>
      <c r="D511" s="22">
        <f>SUMIF(Reservas!C:C,A511,Reservas!I:I)</f>
        <v>0</v>
      </c>
    </row>
    <row r="512">
      <c r="A512" s="21">
        <v>46502.0</v>
      </c>
      <c r="B512" s="22">
        <f>SUMIF(Reservas!C:C,A512,Reservas!G:G)</f>
        <v>0</v>
      </c>
      <c r="C512" s="22">
        <f t="shared" si="3"/>
        <v>48</v>
      </c>
      <c r="D512" s="22">
        <f>SUMIF(Reservas!C:C,A512,Reservas!I:I)</f>
        <v>0</v>
      </c>
    </row>
    <row r="513">
      <c r="A513" s="21">
        <v>46503.0</v>
      </c>
      <c r="B513" s="22">
        <f>SUMIF(Reservas!C:C,A513,Reservas!G:G)</f>
        <v>0</v>
      </c>
      <c r="C513" s="22">
        <f t="shared" si="3"/>
        <v>48</v>
      </c>
      <c r="D513" s="22">
        <f>SUMIF(Reservas!C:C,A513,Reservas!I:I)</f>
        <v>0</v>
      </c>
    </row>
    <row r="514">
      <c r="A514" s="21">
        <v>46504.0</v>
      </c>
      <c r="B514" s="22">
        <f>SUMIF(Reservas!C:C,A514,Reservas!G:G)</f>
        <v>0</v>
      </c>
      <c r="C514" s="22">
        <f t="shared" si="3"/>
        <v>48</v>
      </c>
      <c r="D514" s="22">
        <f>SUMIF(Reservas!C:C,A514,Reservas!I:I)</f>
        <v>0</v>
      </c>
    </row>
    <row r="515">
      <c r="A515" s="21">
        <v>46505.0</v>
      </c>
      <c r="B515" s="22">
        <f>SUMIF(Reservas!C:C,A515,Reservas!G:G)</f>
        <v>0</v>
      </c>
      <c r="C515" s="22">
        <f t="shared" si="3"/>
        <v>48</v>
      </c>
      <c r="D515" s="22">
        <f>SUMIF(Reservas!C:C,A515,Reservas!I:I)</f>
        <v>0</v>
      </c>
    </row>
    <row r="516">
      <c r="A516" s="21">
        <v>46506.0</v>
      </c>
      <c r="B516" s="22">
        <f>SUMIF(Reservas!C:C,A516,Reservas!G:G)</f>
        <v>0</v>
      </c>
      <c r="C516" s="22">
        <f t="shared" si="3"/>
        <v>48</v>
      </c>
      <c r="D516" s="22">
        <f>SUMIF(Reservas!C:C,A516,Reservas!I:I)</f>
        <v>0</v>
      </c>
    </row>
    <row r="517">
      <c r="A517" s="21">
        <v>46507.0</v>
      </c>
      <c r="B517" s="22">
        <f>SUMIF(Reservas!C:C,A517,Reservas!G:G)</f>
        <v>0</v>
      </c>
      <c r="C517" s="22">
        <f t="shared" si="3"/>
        <v>48</v>
      </c>
      <c r="D517" s="22">
        <f>SUMIF(Reservas!C:C,A517,Reservas!I:I)</f>
        <v>0</v>
      </c>
    </row>
    <row r="518">
      <c r="A518" s="21">
        <v>46508.0</v>
      </c>
      <c r="B518" s="22">
        <f>SUMIF(Reservas!C:C,A518,Reservas!G:G)</f>
        <v>0</v>
      </c>
      <c r="C518" s="22">
        <f t="shared" si="3"/>
        <v>48</v>
      </c>
      <c r="D518" s="22">
        <f>SUMIF(Reservas!C:C,A518,Reservas!I:I)</f>
        <v>0</v>
      </c>
    </row>
    <row r="519">
      <c r="A519" s="21">
        <v>46509.0</v>
      </c>
      <c r="B519" s="22">
        <f>SUMIF(Reservas!C:C,A519,Reservas!G:G)</f>
        <v>0</v>
      </c>
      <c r="C519" s="22">
        <f t="shared" si="3"/>
        <v>48</v>
      </c>
      <c r="D519" s="22">
        <f>SUMIF(Reservas!C:C,A519,Reservas!I:I)</f>
        <v>0</v>
      </c>
    </row>
    <row r="520">
      <c r="A520" s="21">
        <v>46510.0</v>
      </c>
      <c r="B520" s="22">
        <f>SUMIF(Reservas!C:C,A520,Reservas!G:G)</f>
        <v>0</v>
      </c>
      <c r="C520" s="22">
        <f t="shared" si="3"/>
        <v>48</v>
      </c>
      <c r="D520" s="22">
        <f>SUMIF(Reservas!C:C,A520,Reservas!I:I)</f>
        <v>0</v>
      </c>
    </row>
    <row r="521">
      <c r="A521" s="21">
        <v>46511.0</v>
      </c>
      <c r="B521" s="22">
        <f>SUMIF(Reservas!C:C,A521,Reservas!G:G)</f>
        <v>0</v>
      </c>
      <c r="C521" s="22">
        <f t="shared" si="3"/>
        <v>48</v>
      </c>
      <c r="D521" s="22">
        <f>SUMIF(Reservas!C:C,A521,Reservas!I:I)</f>
        <v>0</v>
      </c>
    </row>
    <row r="522">
      <c r="A522" s="21">
        <v>46512.0</v>
      </c>
      <c r="B522" s="22">
        <f>SUMIF(Reservas!C:C,A522,Reservas!G:G)</f>
        <v>0</v>
      </c>
      <c r="C522" s="22">
        <f t="shared" si="3"/>
        <v>48</v>
      </c>
      <c r="D522" s="22">
        <f>SUMIF(Reservas!C:C,A522,Reservas!I:I)</f>
        <v>0</v>
      </c>
    </row>
    <row r="523">
      <c r="A523" s="21">
        <v>46513.0</v>
      </c>
      <c r="B523" s="22">
        <f>SUMIF(Reservas!C:C,A523,Reservas!G:G)</f>
        <v>0</v>
      </c>
      <c r="C523" s="22">
        <f t="shared" si="3"/>
        <v>48</v>
      </c>
      <c r="D523" s="22">
        <f>SUMIF(Reservas!C:C,A523,Reservas!I:I)</f>
        <v>0</v>
      </c>
    </row>
    <row r="524">
      <c r="A524" s="21">
        <v>46514.0</v>
      </c>
      <c r="B524" s="22">
        <f>SUMIF(Reservas!C:C,A524,Reservas!G:G)</f>
        <v>0</v>
      </c>
      <c r="C524" s="22">
        <f t="shared" si="3"/>
        <v>48</v>
      </c>
      <c r="D524" s="22">
        <f>SUMIF(Reservas!C:C,A524,Reservas!I:I)</f>
        <v>0</v>
      </c>
    </row>
    <row r="525">
      <c r="A525" s="21">
        <v>46515.0</v>
      </c>
      <c r="B525" s="22">
        <f>SUMIF(Reservas!C:C,A525,Reservas!G:G)</f>
        <v>0</v>
      </c>
      <c r="C525" s="22">
        <f t="shared" si="3"/>
        <v>48</v>
      </c>
      <c r="D525" s="22">
        <f>SUMIF(Reservas!C:C,A525,Reservas!I:I)</f>
        <v>0</v>
      </c>
    </row>
    <row r="526">
      <c r="A526" s="21">
        <v>46516.0</v>
      </c>
      <c r="B526" s="22">
        <f>SUMIF(Reservas!C:C,A526,Reservas!G:G)</f>
        <v>0</v>
      </c>
      <c r="C526" s="22">
        <f t="shared" si="3"/>
        <v>48</v>
      </c>
      <c r="D526" s="22">
        <f>SUMIF(Reservas!C:C,A526,Reservas!I:I)</f>
        <v>0</v>
      </c>
    </row>
    <row r="527">
      <c r="A527" s="21">
        <v>46517.0</v>
      </c>
      <c r="B527" s="22">
        <f>SUMIF(Reservas!C:C,A527,Reservas!G:G)</f>
        <v>0</v>
      </c>
      <c r="C527" s="22">
        <f t="shared" si="3"/>
        <v>48</v>
      </c>
      <c r="D527" s="22">
        <f>SUMIF(Reservas!C:C,A527,Reservas!I:I)</f>
        <v>0</v>
      </c>
    </row>
    <row r="528">
      <c r="A528" s="21">
        <v>46518.0</v>
      </c>
      <c r="B528" s="22">
        <f>SUMIF(Reservas!C:C,A528,Reservas!G:G)</f>
        <v>0</v>
      </c>
      <c r="C528" s="22">
        <f t="shared" si="3"/>
        <v>48</v>
      </c>
      <c r="D528" s="22">
        <f>SUMIF(Reservas!C:C,A528,Reservas!I:I)</f>
        <v>0</v>
      </c>
    </row>
    <row r="529">
      <c r="A529" s="21">
        <v>46519.0</v>
      </c>
      <c r="B529" s="22">
        <f>SUMIF(Reservas!C:C,A529,Reservas!G:G)</f>
        <v>0</v>
      </c>
      <c r="C529" s="22">
        <f t="shared" si="3"/>
        <v>48</v>
      </c>
      <c r="D529" s="22">
        <f>SUMIF(Reservas!C:C,A529,Reservas!I:I)</f>
        <v>0</v>
      </c>
    </row>
    <row r="530">
      <c r="A530" s="21">
        <v>46520.0</v>
      </c>
      <c r="B530" s="22">
        <f>SUMIF(Reservas!C:C,A530,Reservas!G:G)</f>
        <v>0</v>
      </c>
      <c r="C530" s="22">
        <f t="shared" si="3"/>
        <v>48</v>
      </c>
      <c r="D530" s="22">
        <f>SUMIF(Reservas!C:C,A530,Reservas!I:I)</f>
        <v>0</v>
      </c>
    </row>
    <row r="531">
      <c r="A531" s="21">
        <v>46521.0</v>
      </c>
      <c r="B531" s="22">
        <f>SUMIF(Reservas!C:C,A531,Reservas!G:G)</f>
        <v>0</v>
      </c>
      <c r="C531" s="22">
        <f t="shared" si="3"/>
        <v>48</v>
      </c>
      <c r="D531" s="22">
        <f>SUMIF(Reservas!C:C,A531,Reservas!I:I)</f>
        <v>0</v>
      </c>
    </row>
    <row r="532">
      <c r="A532" s="21">
        <v>46522.0</v>
      </c>
      <c r="B532" s="22">
        <f>SUMIF(Reservas!C:C,A532,Reservas!G:G)</f>
        <v>0</v>
      </c>
      <c r="C532" s="22">
        <f t="shared" si="3"/>
        <v>48</v>
      </c>
      <c r="D532" s="22">
        <f>SUMIF(Reservas!C:C,A532,Reservas!I:I)</f>
        <v>0</v>
      </c>
    </row>
    <row r="533">
      <c r="A533" s="21">
        <v>46523.0</v>
      </c>
      <c r="B533" s="22">
        <f>SUMIF(Reservas!C:C,A533,Reservas!G:G)</f>
        <v>0</v>
      </c>
      <c r="C533" s="22">
        <f t="shared" si="3"/>
        <v>48</v>
      </c>
      <c r="D533" s="22">
        <f>SUMIF(Reservas!C:C,A533,Reservas!I:I)</f>
        <v>0</v>
      </c>
    </row>
    <row r="534">
      <c r="A534" s="21">
        <v>46524.0</v>
      </c>
      <c r="B534" s="22">
        <f>SUMIF(Reservas!C:C,A534,Reservas!G:G)</f>
        <v>0</v>
      </c>
      <c r="C534" s="22">
        <f t="shared" si="3"/>
        <v>48</v>
      </c>
      <c r="D534" s="22">
        <f>SUMIF(Reservas!C:C,A534,Reservas!I:I)</f>
        <v>0</v>
      </c>
    </row>
    <row r="535">
      <c r="A535" s="21">
        <v>46525.0</v>
      </c>
      <c r="B535" s="22">
        <f>SUMIF(Reservas!C:C,A535,Reservas!G:G)</f>
        <v>0</v>
      </c>
      <c r="C535" s="22">
        <f t="shared" si="3"/>
        <v>48</v>
      </c>
      <c r="D535" s="22">
        <f>SUMIF(Reservas!C:C,A535,Reservas!I:I)</f>
        <v>0</v>
      </c>
    </row>
    <row r="536">
      <c r="A536" s="21">
        <v>46526.0</v>
      </c>
      <c r="B536" s="22">
        <f>SUMIF(Reservas!C:C,A536,Reservas!G:G)</f>
        <v>0</v>
      </c>
      <c r="C536" s="22">
        <f t="shared" si="3"/>
        <v>48</v>
      </c>
      <c r="D536" s="22">
        <f>SUMIF(Reservas!C:C,A536,Reservas!I:I)</f>
        <v>0</v>
      </c>
    </row>
    <row r="537">
      <c r="A537" s="21">
        <v>46527.0</v>
      </c>
      <c r="B537" s="22">
        <f>SUMIF(Reservas!C:C,A537,Reservas!G:G)</f>
        <v>0</v>
      </c>
      <c r="C537" s="22">
        <f t="shared" si="3"/>
        <v>48</v>
      </c>
      <c r="D537" s="22">
        <f>SUMIF(Reservas!C:C,A537,Reservas!I:I)</f>
        <v>0</v>
      </c>
    </row>
    <row r="538">
      <c r="A538" s="21">
        <v>46528.0</v>
      </c>
      <c r="B538" s="22">
        <f>SUMIF(Reservas!C:C,A538,Reservas!G:G)</f>
        <v>0</v>
      </c>
      <c r="C538" s="22">
        <f t="shared" si="3"/>
        <v>48</v>
      </c>
      <c r="D538" s="22">
        <f>SUMIF(Reservas!C:C,A538,Reservas!I:I)</f>
        <v>0</v>
      </c>
    </row>
    <row r="539">
      <c r="A539" s="21">
        <v>46529.0</v>
      </c>
      <c r="B539" s="22">
        <f>SUMIF(Reservas!C:C,A539,Reservas!G:G)</f>
        <v>0</v>
      </c>
      <c r="C539" s="22">
        <f t="shared" si="3"/>
        <v>48</v>
      </c>
      <c r="D539" s="22">
        <f>SUMIF(Reservas!C:C,A539,Reservas!I:I)</f>
        <v>0</v>
      </c>
    </row>
    <row r="540">
      <c r="A540" s="21">
        <v>46530.0</v>
      </c>
      <c r="B540" s="22">
        <f>SUMIF(Reservas!C:C,A540,Reservas!G:G)</f>
        <v>0</v>
      </c>
      <c r="C540" s="22">
        <f t="shared" si="3"/>
        <v>48</v>
      </c>
      <c r="D540" s="22">
        <f>SUMIF(Reservas!C:C,A540,Reservas!I:I)</f>
        <v>0</v>
      </c>
    </row>
    <row r="541">
      <c r="A541" s="21">
        <v>46531.0</v>
      </c>
      <c r="B541" s="22">
        <f>SUMIF(Reservas!C:C,A541,Reservas!G:G)</f>
        <v>0</v>
      </c>
      <c r="C541" s="22">
        <f t="shared" si="3"/>
        <v>48</v>
      </c>
      <c r="D541" s="22">
        <f>SUMIF(Reservas!C:C,A541,Reservas!I:I)</f>
        <v>0</v>
      </c>
    </row>
    <row r="542">
      <c r="A542" s="21">
        <v>46532.0</v>
      </c>
      <c r="B542" s="22">
        <f>SUMIF(Reservas!C:C,A542,Reservas!G:G)</f>
        <v>0</v>
      </c>
      <c r="C542" s="22">
        <f t="shared" si="3"/>
        <v>48</v>
      </c>
      <c r="D542" s="22">
        <f>SUMIF(Reservas!C:C,A542,Reservas!I:I)</f>
        <v>0</v>
      </c>
    </row>
    <row r="543">
      <c r="A543" s="21">
        <v>46533.0</v>
      </c>
      <c r="B543" s="22">
        <f>SUMIF(Reservas!C:C,A543,Reservas!G:G)</f>
        <v>0</v>
      </c>
      <c r="C543" s="22">
        <f t="shared" si="3"/>
        <v>48</v>
      </c>
      <c r="D543" s="22">
        <f>SUMIF(Reservas!C:C,A543,Reservas!I:I)</f>
        <v>0</v>
      </c>
    </row>
    <row r="544">
      <c r="A544" s="21">
        <v>46534.0</v>
      </c>
      <c r="B544" s="22">
        <f>SUMIF(Reservas!C:C,A544,Reservas!G:G)</f>
        <v>0</v>
      </c>
      <c r="C544" s="22">
        <f t="shared" si="3"/>
        <v>48</v>
      </c>
      <c r="D544" s="22">
        <f>SUMIF(Reservas!C:C,A544,Reservas!I:I)</f>
        <v>0</v>
      </c>
    </row>
    <row r="545">
      <c r="A545" s="21">
        <v>46535.0</v>
      </c>
      <c r="B545" s="22">
        <f>SUMIF(Reservas!C:C,A545,Reservas!G:G)</f>
        <v>0</v>
      </c>
      <c r="C545" s="22">
        <f t="shared" si="3"/>
        <v>48</v>
      </c>
      <c r="D545" s="22">
        <f>SUMIF(Reservas!C:C,A545,Reservas!I:I)</f>
        <v>0</v>
      </c>
    </row>
    <row r="546">
      <c r="A546" s="21">
        <v>46536.0</v>
      </c>
      <c r="B546" s="22">
        <f>SUMIF(Reservas!C:C,A546,Reservas!G:G)</f>
        <v>0</v>
      </c>
      <c r="C546" s="22">
        <f t="shared" si="3"/>
        <v>48</v>
      </c>
      <c r="D546" s="22">
        <f>SUMIF(Reservas!C:C,A546,Reservas!I:I)</f>
        <v>0</v>
      </c>
    </row>
    <row r="547">
      <c r="A547" s="21">
        <v>46537.0</v>
      </c>
      <c r="B547" s="22">
        <f>SUMIF(Reservas!C:C,A547,Reservas!G:G)</f>
        <v>0</v>
      </c>
      <c r="C547" s="22">
        <f t="shared" si="3"/>
        <v>48</v>
      </c>
      <c r="D547" s="22">
        <f>SUMIF(Reservas!C:C,A547,Reservas!I:I)</f>
        <v>0</v>
      </c>
    </row>
    <row r="548">
      <c r="A548" s="21">
        <v>46538.0</v>
      </c>
      <c r="B548" s="22">
        <f>SUMIF(Reservas!C:C,A548,Reservas!G:G)</f>
        <v>0</v>
      </c>
      <c r="C548" s="22">
        <f t="shared" si="3"/>
        <v>48</v>
      </c>
      <c r="D548" s="22">
        <f>SUMIF(Reservas!C:C,A548,Reservas!I:I)</f>
        <v>0</v>
      </c>
    </row>
    <row r="549">
      <c r="A549" s="21">
        <v>46539.0</v>
      </c>
      <c r="B549" s="22">
        <f>SUMIF(Reservas!C:C,A549,Reservas!G:G)</f>
        <v>0</v>
      </c>
      <c r="C549" s="22">
        <f t="shared" si="3"/>
        <v>48</v>
      </c>
      <c r="D549" s="22">
        <f>SUMIF(Reservas!C:C,A549,Reservas!I:I)</f>
        <v>0</v>
      </c>
    </row>
    <row r="550">
      <c r="A550" s="21">
        <v>46540.0</v>
      </c>
      <c r="B550" s="22">
        <f>SUMIF(Reservas!C:C,A550,Reservas!G:G)</f>
        <v>0</v>
      </c>
      <c r="C550" s="22">
        <f t="shared" si="3"/>
        <v>48</v>
      </c>
      <c r="D550" s="22">
        <f>SUMIF(Reservas!C:C,A550,Reservas!I:I)</f>
        <v>0</v>
      </c>
    </row>
    <row r="551">
      <c r="A551" s="21">
        <v>46541.0</v>
      </c>
      <c r="B551" s="22">
        <f>SUMIF(Reservas!C:C,A551,Reservas!G:G)</f>
        <v>0</v>
      </c>
      <c r="C551" s="22">
        <f t="shared" si="3"/>
        <v>48</v>
      </c>
      <c r="D551" s="22">
        <f>SUMIF(Reservas!C:C,A551,Reservas!I:I)</f>
        <v>0</v>
      </c>
    </row>
    <row r="552">
      <c r="A552" s="21">
        <v>46542.0</v>
      </c>
      <c r="B552" s="22">
        <f>SUMIF(Reservas!C:C,A552,Reservas!G:G)</f>
        <v>0</v>
      </c>
      <c r="C552" s="22">
        <f t="shared" si="3"/>
        <v>48</v>
      </c>
      <c r="D552" s="22">
        <f>SUMIF(Reservas!C:C,A552,Reservas!I:I)</f>
        <v>0</v>
      </c>
    </row>
    <row r="553">
      <c r="A553" s="21">
        <v>46543.0</v>
      </c>
      <c r="B553" s="22">
        <f>SUMIF(Reservas!C:C,A553,Reservas!G:G)</f>
        <v>0</v>
      </c>
      <c r="C553" s="22">
        <f t="shared" si="3"/>
        <v>48</v>
      </c>
      <c r="D553" s="22">
        <f>SUMIF(Reservas!C:C,A553,Reservas!I:I)</f>
        <v>0</v>
      </c>
    </row>
    <row r="554">
      <c r="A554" s="21">
        <v>46544.0</v>
      </c>
      <c r="B554" s="22">
        <f>SUMIF(Reservas!C:C,A554,Reservas!G:G)</f>
        <v>0</v>
      </c>
      <c r="C554" s="22">
        <f t="shared" si="3"/>
        <v>48</v>
      </c>
      <c r="D554" s="22">
        <f>SUMIF(Reservas!C:C,A554,Reservas!I:I)</f>
        <v>0</v>
      </c>
    </row>
    <row r="555">
      <c r="A555" s="21">
        <v>46545.0</v>
      </c>
      <c r="B555" s="22">
        <f>SUMIF(Reservas!C:C,A555,Reservas!G:G)</f>
        <v>0</v>
      </c>
      <c r="C555" s="22">
        <f t="shared" si="3"/>
        <v>48</v>
      </c>
      <c r="D555" s="22">
        <f>SUMIF(Reservas!C:C,A555,Reservas!I:I)</f>
        <v>0</v>
      </c>
    </row>
    <row r="556">
      <c r="A556" s="21">
        <v>46546.0</v>
      </c>
      <c r="B556" s="22">
        <f>SUMIF(Reservas!C:C,A556,Reservas!G:G)</f>
        <v>0</v>
      </c>
      <c r="C556" s="22">
        <f t="shared" si="3"/>
        <v>48</v>
      </c>
      <c r="D556" s="22">
        <f>SUMIF(Reservas!C:C,A556,Reservas!I:I)</f>
        <v>0</v>
      </c>
    </row>
    <row r="557">
      <c r="A557" s="21">
        <v>46547.0</v>
      </c>
      <c r="B557" s="22">
        <f>SUMIF(Reservas!C:C,A557,Reservas!G:G)</f>
        <v>0</v>
      </c>
      <c r="C557" s="22">
        <f t="shared" si="3"/>
        <v>48</v>
      </c>
      <c r="D557" s="22">
        <f>SUMIF(Reservas!C:C,A557,Reservas!I:I)</f>
        <v>0</v>
      </c>
    </row>
    <row r="558">
      <c r="A558" s="21">
        <v>46548.0</v>
      </c>
      <c r="B558" s="22">
        <f>SUMIF(Reservas!C:C,A558,Reservas!G:G)</f>
        <v>0</v>
      </c>
      <c r="C558" s="22">
        <f t="shared" si="3"/>
        <v>48</v>
      </c>
      <c r="D558" s="22">
        <f>SUMIF(Reservas!C:C,A558,Reservas!I:I)</f>
        <v>0</v>
      </c>
    </row>
    <row r="559">
      <c r="A559" s="21">
        <v>46549.0</v>
      </c>
      <c r="B559" s="22">
        <f>SUMIF(Reservas!C:C,A559,Reservas!G:G)</f>
        <v>0</v>
      </c>
      <c r="C559" s="22">
        <f t="shared" si="3"/>
        <v>48</v>
      </c>
      <c r="D559" s="22">
        <f>SUMIF(Reservas!C:C,A559,Reservas!I:I)</f>
        <v>0</v>
      </c>
    </row>
    <row r="560">
      <c r="A560" s="21">
        <v>46550.0</v>
      </c>
      <c r="B560" s="22">
        <f>SUMIF(Reservas!C:C,A560,Reservas!G:G)</f>
        <v>0</v>
      </c>
      <c r="C560" s="22">
        <f t="shared" si="3"/>
        <v>48</v>
      </c>
      <c r="D560" s="22">
        <f>SUMIF(Reservas!C:C,A560,Reservas!I:I)</f>
        <v>0</v>
      </c>
    </row>
    <row r="561">
      <c r="A561" s="21">
        <v>46551.0</v>
      </c>
      <c r="B561" s="22">
        <f>SUMIF(Reservas!C:C,A561,Reservas!G:G)</f>
        <v>0</v>
      </c>
      <c r="C561" s="22">
        <f t="shared" si="3"/>
        <v>48</v>
      </c>
      <c r="D561" s="22">
        <f>SUMIF(Reservas!C:C,A561,Reservas!I:I)</f>
        <v>0</v>
      </c>
    </row>
    <row r="562">
      <c r="A562" s="21">
        <v>46552.0</v>
      </c>
      <c r="B562" s="22">
        <f>SUMIF(Reservas!C:C,A562,Reservas!G:G)</f>
        <v>0</v>
      </c>
      <c r="C562" s="22">
        <f t="shared" si="3"/>
        <v>48</v>
      </c>
      <c r="D562" s="22">
        <f>SUMIF(Reservas!C:C,A562,Reservas!I:I)</f>
        <v>0</v>
      </c>
    </row>
    <row r="563">
      <c r="A563" s="21">
        <v>46553.0</v>
      </c>
      <c r="B563" s="22">
        <f>SUMIF(Reservas!C:C,A563,Reservas!G:G)</f>
        <v>0</v>
      </c>
      <c r="C563" s="22">
        <f t="shared" si="3"/>
        <v>48</v>
      </c>
      <c r="D563" s="22">
        <f>SUMIF(Reservas!C:C,A563,Reservas!I:I)</f>
        <v>0</v>
      </c>
    </row>
    <row r="564">
      <c r="A564" s="21">
        <v>46554.0</v>
      </c>
      <c r="B564" s="22">
        <f>SUMIF(Reservas!C:C,A564,Reservas!G:G)</f>
        <v>0</v>
      </c>
      <c r="C564" s="22">
        <f t="shared" si="3"/>
        <v>48</v>
      </c>
      <c r="D564" s="22">
        <f>SUMIF(Reservas!C:C,A564,Reservas!I:I)</f>
        <v>0</v>
      </c>
    </row>
    <row r="565">
      <c r="A565" s="21">
        <v>46555.0</v>
      </c>
      <c r="B565" s="22">
        <f>SUMIF(Reservas!C:C,A565,Reservas!G:G)</f>
        <v>0</v>
      </c>
      <c r="C565" s="22">
        <f t="shared" si="3"/>
        <v>48</v>
      </c>
      <c r="D565" s="22">
        <f>SUMIF(Reservas!C:C,A565,Reservas!I:I)</f>
        <v>0</v>
      </c>
    </row>
    <row r="566">
      <c r="A566" s="21">
        <v>46556.0</v>
      </c>
      <c r="B566" s="22">
        <f>SUMIF(Reservas!C:C,A566,Reservas!G:G)</f>
        <v>0</v>
      </c>
      <c r="C566" s="22">
        <f t="shared" si="3"/>
        <v>48</v>
      </c>
      <c r="D566" s="22">
        <f>SUMIF(Reservas!C:C,A566,Reservas!I:I)</f>
        <v>0</v>
      </c>
    </row>
    <row r="567">
      <c r="A567" s="21">
        <v>46557.0</v>
      </c>
      <c r="B567" s="22">
        <f>SUMIF(Reservas!C:C,A567,Reservas!G:G)</f>
        <v>0</v>
      </c>
      <c r="C567" s="22">
        <f t="shared" si="3"/>
        <v>48</v>
      </c>
      <c r="D567" s="22">
        <f>SUMIF(Reservas!C:C,A567,Reservas!I:I)</f>
        <v>0</v>
      </c>
    </row>
    <row r="568">
      <c r="A568" s="21">
        <v>46558.0</v>
      </c>
      <c r="B568" s="22">
        <f>SUMIF(Reservas!C:C,A568,Reservas!G:G)</f>
        <v>0</v>
      </c>
      <c r="C568" s="22">
        <f t="shared" si="3"/>
        <v>48</v>
      </c>
      <c r="D568" s="22">
        <f>SUMIF(Reservas!C:C,A568,Reservas!I:I)</f>
        <v>0</v>
      </c>
    </row>
    <row r="569">
      <c r="A569" s="21">
        <v>46559.0</v>
      </c>
      <c r="B569" s="22">
        <f>SUMIF(Reservas!C:C,A569,Reservas!G:G)</f>
        <v>0</v>
      </c>
      <c r="C569" s="22">
        <f t="shared" si="3"/>
        <v>48</v>
      </c>
      <c r="D569" s="22">
        <f>SUMIF(Reservas!C:C,A569,Reservas!I:I)</f>
        <v>0</v>
      </c>
    </row>
    <row r="570">
      <c r="A570" s="21">
        <v>46560.0</v>
      </c>
      <c r="B570" s="22">
        <f>SUMIF(Reservas!C:C,A570,Reservas!G:G)</f>
        <v>0</v>
      </c>
      <c r="C570" s="22">
        <f t="shared" si="3"/>
        <v>48</v>
      </c>
      <c r="D570" s="22">
        <f>SUMIF(Reservas!C:C,A570,Reservas!I:I)</f>
        <v>0</v>
      </c>
    </row>
    <row r="571">
      <c r="A571" s="21">
        <v>46561.0</v>
      </c>
      <c r="B571" s="22">
        <f>SUMIF(Reservas!C:C,A571,Reservas!G:G)</f>
        <v>0</v>
      </c>
      <c r="C571" s="22">
        <f t="shared" si="3"/>
        <v>48</v>
      </c>
      <c r="D571" s="22">
        <f>SUMIF(Reservas!C:C,A571,Reservas!I:I)</f>
        <v>0</v>
      </c>
    </row>
    <row r="572">
      <c r="A572" s="21">
        <v>46562.0</v>
      </c>
      <c r="B572" s="22">
        <f>SUMIF(Reservas!C:C,A572,Reservas!G:G)</f>
        <v>0</v>
      </c>
      <c r="C572" s="22">
        <f t="shared" si="3"/>
        <v>48</v>
      </c>
      <c r="D572" s="22">
        <f>SUMIF(Reservas!C:C,A572,Reservas!I:I)</f>
        <v>0</v>
      </c>
    </row>
    <row r="573">
      <c r="A573" s="21">
        <v>46563.0</v>
      </c>
      <c r="B573" s="22">
        <f>SUMIF(Reservas!C:C,A573,Reservas!G:G)</f>
        <v>0</v>
      </c>
      <c r="C573" s="22">
        <f t="shared" si="3"/>
        <v>48</v>
      </c>
      <c r="D573" s="22">
        <f>SUMIF(Reservas!C:C,A573,Reservas!I:I)</f>
        <v>0</v>
      </c>
    </row>
    <row r="574">
      <c r="A574" s="21">
        <v>46564.0</v>
      </c>
      <c r="B574" s="22">
        <f>SUMIF(Reservas!C:C,A574,Reservas!G:G)</f>
        <v>0</v>
      </c>
      <c r="C574" s="22">
        <f t="shared" si="3"/>
        <v>48</v>
      </c>
      <c r="D574" s="22">
        <f>SUMIF(Reservas!C:C,A574,Reservas!I:I)</f>
        <v>0</v>
      </c>
    </row>
    <row r="575">
      <c r="A575" s="21">
        <v>46565.0</v>
      </c>
      <c r="B575" s="22">
        <f>SUMIF(Reservas!C:C,A575,Reservas!G:G)</f>
        <v>0</v>
      </c>
      <c r="C575" s="22">
        <f t="shared" si="3"/>
        <v>48</v>
      </c>
      <c r="D575" s="22">
        <f>SUMIF(Reservas!C:C,A575,Reservas!I:I)</f>
        <v>0</v>
      </c>
    </row>
    <row r="576">
      <c r="A576" s="21">
        <v>46566.0</v>
      </c>
      <c r="B576" s="22">
        <f>SUMIF(Reservas!C:C,A576,Reservas!G:G)</f>
        <v>0</v>
      </c>
      <c r="C576" s="22">
        <f t="shared" si="3"/>
        <v>48</v>
      </c>
      <c r="D576" s="22">
        <f>SUMIF(Reservas!C:C,A576,Reservas!I:I)</f>
        <v>0</v>
      </c>
    </row>
    <row r="577">
      <c r="A577" s="21">
        <v>46567.0</v>
      </c>
      <c r="B577" s="22">
        <f>SUMIF(Reservas!C:C,A577,Reservas!G:G)</f>
        <v>0</v>
      </c>
      <c r="C577" s="22">
        <f t="shared" si="3"/>
        <v>48</v>
      </c>
      <c r="D577" s="22">
        <f>SUMIF(Reservas!C:C,A577,Reservas!I:I)</f>
        <v>0</v>
      </c>
    </row>
    <row r="578">
      <c r="A578" s="21">
        <v>46568.0</v>
      </c>
      <c r="B578" s="22">
        <f>SUMIF(Reservas!C:C,A578,Reservas!G:G)</f>
        <v>0</v>
      </c>
      <c r="C578" s="22">
        <f t="shared" si="3"/>
        <v>48</v>
      </c>
      <c r="D578" s="22">
        <f>SUMIF(Reservas!C:C,A578,Reservas!I:I)</f>
        <v>0</v>
      </c>
    </row>
    <row r="579">
      <c r="A579" s="21">
        <v>46569.0</v>
      </c>
      <c r="B579" s="22">
        <f>SUMIF(Reservas!C:C,A579,Reservas!G:G)</f>
        <v>0</v>
      </c>
      <c r="C579" s="22">
        <f t="shared" si="3"/>
        <v>48</v>
      </c>
      <c r="D579" s="22">
        <f>SUMIF(Reservas!C:C,A579,Reservas!I:I)</f>
        <v>0</v>
      </c>
    </row>
    <row r="580">
      <c r="A580" s="21">
        <v>46570.0</v>
      </c>
      <c r="B580" s="22">
        <f>SUMIF(Reservas!C:C,A580,Reservas!G:G)</f>
        <v>0</v>
      </c>
      <c r="C580" s="22">
        <f t="shared" si="3"/>
        <v>48</v>
      </c>
      <c r="D580" s="22">
        <f>SUMIF(Reservas!C:C,A580,Reservas!I:I)</f>
        <v>0</v>
      </c>
    </row>
    <row r="581">
      <c r="A581" s="21">
        <v>46571.0</v>
      </c>
      <c r="B581" s="22">
        <f>SUMIF(Reservas!C:C,A581,Reservas!G:G)</f>
        <v>0</v>
      </c>
      <c r="C581" s="22">
        <f t="shared" si="3"/>
        <v>48</v>
      </c>
      <c r="D581" s="22">
        <f>SUMIF(Reservas!C:C,A581,Reservas!I:I)</f>
        <v>0</v>
      </c>
    </row>
    <row r="582">
      <c r="A582" s="21">
        <v>46572.0</v>
      </c>
      <c r="B582" s="22">
        <f>SUMIF(Reservas!C:C,A582,Reservas!G:G)</f>
        <v>0</v>
      </c>
      <c r="C582" s="22">
        <f t="shared" si="3"/>
        <v>48</v>
      </c>
      <c r="D582" s="22">
        <f>SUMIF(Reservas!C:C,A582,Reservas!I:I)</f>
        <v>0</v>
      </c>
    </row>
    <row r="583">
      <c r="A583" s="21">
        <v>46573.0</v>
      </c>
      <c r="B583" s="22">
        <f>SUMIF(Reservas!C:C,A583,Reservas!G:G)</f>
        <v>0</v>
      </c>
      <c r="C583" s="22">
        <f t="shared" si="3"/>
        <v>48</v>
      </c>
      <c r="D583" s="22">
        <f>SUMIF(Reservas!C:C,A583,Reservas!I:I)</f>
        <v>0</v>
      </c>
    </row>
    <row r="584">
      <c r="A584" s="21">
        <v>46574.0</v>
      </c>
      <c r="B584" s="22">
        <f>SUMIF(Reservas!C:C,A584,Reservas!G:G)</f>
        <v>0</v>
      </c>
      <c r="C584" s="22">
        <f t="shared" si="3"/>
        <v>48</v>
      </c>
      <c r="D584" s="22">
        <f>SUMIF(Reservas!C:C,A584,Reservas!I:I)</f>
        <v>0</v>
      </c>
    </row>
    <row r="585">
      <c r="A585" s="21">
        <v>46575.0</v>
      </c>
      <c r="B585" s="22">
        <f>SUMIF(Reservas!C:C,A585,Reservas!G:G)</f>
        <v>0</v>
      </c>
      <c r="C585" s="22">
        <f t="shared" si="3"/>
        <v>48</v>
      </c>
      <c r="D585" s="22">
        <f>SUMIF(Reservas!C:C,A585,Reservas!I:I)</f>
        <v>0</v>
      </c>
    </row>
    <row r="586">
      <c r="A586" s="21">
        <v>46576.0</v>
      </c>
      <c r="B586" s="22">
        <f>SUMIF(Reservas!C:C,A586,Reservas!G:G)</f>
        <v>0</v>
      </c>
      <c r="C586" s="22">
        <f t="shared" si="3"/>
        <v>48</v>
      </c>
      <c r="D586" s="22">
        <f>SUMIF(Reservas!C:C,A586,Reservas!I:I)</f>
        <v>0</v>
      </c>
    </row>
    <row r="587">
      <c r="A587" s="21">
        <v>46577.0</v>
      </c>
      <c r="B587" s="22">
        <f>SUMIF(Reservas!C:C,A587,Reservas!G:G)</f>
        <v>0</v>
      </c>
      <c r="C587" s="22">
        <f t="shared" si="3"/>
        <v>48</v>
      </c>
      <c r="D587" s="22">
        <f>SUMIF(Reservas!C:C,A587,Reservas!I:I)</f>
        <v>0</v>
      </c>
    </row>
    <row r="588">
      <c r="A588" s="21">
        <v>46578.0</v>
      </c>
      <c r="B588" s="22">
        <f>SUMIF(Reservas!C:C,A588,Reservas!G:G)</f>
        <v>0</v>
      </c>
      <c r="C588" s="22">
        <f t="shared" si="3"/>
        <v>48</v>
      </c>
      <c r="D588" s="22">
        <f>SUMIF(Reservas!C:C,A588,Reservas!I:I)</f>
        <v>0</v>
      </c>
    </row>
    <row r="589">
      <c r="A589" s="21">
        <v>46579.0</v>
      </c>
      <c r="B589" s="22">
        <f>SUMIF(Reservas!C:C,A589,Reservas!G:G)</f>
        <v>0</v>
      </c>
      <c r="C589" s="22">
        <f t="shared" si="3"/>
        <v>48</v>
      </c>
      <c r="D589" s="22">
        <f>SUMIF(Reservas!C:C,A589,Reservas!I:I)</f>
        <v>0</v>
      </c>
    </row>
    <row r="590">
      <c r="A590" s="21">
        <v>46580.0</v>
      </c>
      <c r="B590" s="22">
        <f>SUMIF(Reservas!C:C,A590,Reservas!G:G)</f>
        <v>0</v>
      </c>
      <c r="C590" s="22">
        <f t="shared" si="3"/>
        <v>48</v>
      </c>
      <c r="D590" s="22">
        <f>SUMIF(Reservas!C:C,A590,Reservas!I:I)</f>
        <v>0</v>
      </c>
    </row>
    <row r="591">
      <c r="A591" s="21">
        <v>46581.0</v>
      </c>
      <c r="B591" s="22">
        <f>SUMIF(Reservas!C:C,A591,Reservas!G:G)</f>
        <v>0</v>
      </c>
      <c r="C591" s="22">
        <f t="shared" si="3"/>
        <v>48</v>
      </c>
      <c r="D591" s="22">
        <f>SUMIF(Reservas!C:C,A591,Reservas!I:I)</f>
        <v>0</v>
      </c>
    </row>
    <row r="592">
      <c r="A592" s="21">
        <v>46582.0</v>
      </c>
      <c r="B592" s="22">
        <f>SUMIF(Reservas!C:C,A592,Reservas!G:G)</f>
        <v>0</v>
      </c>
      <c r="C592" s="22">
        <f t="shared" si="3"/>
        <v>48</v>
      </c>
      <c r="D592" s="22">
        <f>SUMIF(Reservas!C:C,A592,Reservas!I:I)</f>
        <v>0</v>
      </c>
    </row>
    <row r="593">
      <c r="A593" s="21">
        <v>46583.0</v>
      </c>
      <c r="B593" s="22">
        <f>SUMIF(Reservas!C:C,A593,Reservas!G:G)</f>
        <v>0</v>
      </c>
      <c r="C593" s="22">
        <f t="shared" si="3"/>
        <v>48</v>
      </c>
      <c r="D593" s="22">
        <f>SUMIF(Reservas!C:C,A593,Reservas!I:I)</f>
        <v>0</v>
      </c>
    </row>
    <row r="594">
      <c r="A594" s="21">
        <v>46584.0</v>
      </c>
      <c r="B594" s="22">
        <f>SUMIF(Reservas!C:C,A594,Reservas!G:G)</f>
        <v>0</v>
      </c>
      <c r="C594" s="22">
        <f t="shared" si="3"/>
        <v>48</v>
      </c>
      <c r="D594" s="22">
        <f>SUMIF(Reservas!C:C,A594,Reservas!I:I)</f>
        <v>0</v>
      </c>
    </row>
    <row r="595">
      <c r="A595" s="21">
        <v>46585.0</v>
      </c>
      <c r="B595" s="22">
        <f>SUMIF(Reservas!C:C,A595,Reservas!G:G)</f>
        <v>0</v>
      </c>
      <c r="C595" s="22">
        <f t="shared" si="3"/>
        <v>48</v>
      </c>
      <c r="D595" s="22">
        <f>SUMIF(Reservas!C:C,A595,Reservas!I:I)</f>
        <v>0</v>
      </c>
    </row>
    <row r="596">
      <c r="A596" s="21">
        <v>46586.0</v>
      </c>
      <c r="B596" s="22">
        <f>SUMIF(Reservas!C:C,A596,Reservas!G:G)</f>
        <v>0</v>
      </c>
      <c r="C596" s="22">
        <f t="shared" si="3"/>
        <v>48</v>
      </c>
      <c r="D596" s="22">
        <f>SUMIF(Reservas!C:C,A596,Reservas!I:I)</f>
        <v>0</v>
      </c>
    </row>
    <row r="597">
      <c r="A597" s="21">
        <v>46587.0</v>
      </c>
      <c r="B597" s="22">
        <f>SUMIF(Reservas!C:C,A597,Reservas!G:G)</f>
        <v>0</v>
      </c>
      <c r="C597" s="22">
        <f t="shared" si="3"/>
        <v>48</v>
      </c>
      <c r="D597" s="22">
        <f>SUMIF(Reservas!C:C,A597,Reservas!I:I)</f>
        <v>0</v>
      </c>
    </row>
    <row r="598">
      <c r="A598" s="21">
        <v>46588.0</v>
      </c>
      <c r="B598" s="22">
        <f>SUMIF(Reservas!C:C,A598,Reservas!G:G)</f>
        <v>0</v>
      </c>
      <c r="C598" s="22">
        <f t="shared" si="3"/>
        <v>48</v>
      </c>
      <c r="D598" s="22">
        <f>SUMIF(Reservas!C:C,A598,Reservas!I:I)</f>
        <v>0</v>
      </c>
    </row>
    <row r="599">
      <c r="A599" s="21">
        <v>46589.0</v>
      </c>
      <c r="B599" s="22">
        <f>SUMIF(Reservas!C:C,A599,Reservas!G:G)</f>
        <v>0</v>
      </c>
      <c r="C599" s="22">
        <f t="shared" si="3"/>
        <v>48</v>
      </c>
      <c r="D599" s="22">
        <f>SUMIF(Reservas!C:C,A599,Reservas!I:I)</f>
        <v>0</v>
      </c>
    </row>
    <row r="600">
      <c r="A600" s="21">
        <v>46590.0</v>
      </c>
      <c r="B600" s="22">
        <f>SUMIF(Reservas!C:C,A600,Reservas!G:G)</f>
        <v>0</v>
      </c>
      <c r="C600" s="22">
        <f t="shared" si="3"/>
        <v>48</v>
      </c>
      <c r="D600" s="22">
        <f>SUMIF(Reservas!C:C,A600,Reservas!I:I)</f>
        <v>0</v>
      </c>
    </row>
    <row r="601">
      <c r="A601" s="21">
        <v>46591.0</v>
      </c>
      <c r="B601" s="22">
        <f>SUMIF(Reservas!C:C,A601,Reservas!G:G)</f>
        <v>0</v>
      </c>
      <c r="C601" s="22">
        <f t="shared" si="3"/>
        <v>48</v>
      </c>
      <c r="D601" s="22">
        <f>SUMIF(Reservas!C:C,A601,Reservas!I:I)</f>
        <v>0</v>
      </c>
    </row>
    <row r="602">
      <c r="A602" s="21">
        <v>46592.0</v>
      </c>
      <c r="B602" s="22">
        <f>SUMIF(Reservas!C:C,A602,Reservas!G:G)</f>
        <v>0</v>
      </c>
      <c r="C602" s="22">
        <f t="shared" si="3"/>
        <v>48</v>
      </c>
      <c r="D602" s="22">
        <f>SUMIF(Reservas!C:C,A602,Reservas!I:I)</f>
        <v>0</v>
      </c>
    </row>
    <row r="603">
      <c r="A603" s="21">
        <v>46593.0</v>
      </c>
      <c r="B603" s="22">
        <f>SUMIF(Reservas!C:C,A603,Reservas!G:G)</f>
        <v>0</v>
      </c>
      <c r="C603" s="22">
        <f t="shared" si="3"/>
        <v>48</v>
      </c>
      <c r="D603" s="22">
        <f>SUMIF(Reservas!C:C,A603,Reservas!I:I)</f>
        <v>0</v>
      </c>
    </row>
    <row r="604">
      <c r="A604" s="21">
        <v>46594.0</v>
      </c>
      <c r="B604" s="22">
        <f>SUMIF(Reservas!C:C,A604,Reservas!G:G)</f>
        <v>0</v>
      </c>
      <c r="C604" s="22">
        <f t="shared" si="3"/>
        <v>48</v>
      </c>
      <c r="D604" s="22">
        <f>SUMIF(Reservas!C:C,A604,Reservas!I:I)</f>
        <v>0</v>
      </c>
    </row>
    <row r="605">
      <c r="A605" s="21">
        <v>46595.0</v>
      </c>
      <c r="B605" s="22">
        <f>SUMIF(Reservas!C:C,A605,Reservas!G:G)</f>
        <v>0</v>
      </c>
      <c r="C605" s="22">
        <f t="shared" si="3"/>
        <v>48</v>
      </c>
      <c r="D605" s="22">
        <f>SUMIF(Reservas!C:C,A605,Reservas!I:I)</f>
        <v>0</v>
      </c>
    </row>
    <row r="606">
      <c r="A606" s="21">
        <v>46596.0</v>
      </c>
      <c r="B606" s="22">
        <f>SUMIF(Reservas!C:C,A606,Reservas!G:G)</f>
        <v>0</v>
      </c>
      <c r="C606" s="22">
        <f t="shared" si="3"/>
        <v>48</v>
      </c>
      <c r="D606" s="22">
        <f>SUMIF(Reservas!C:C,A606,Reservas!I:I)</f>
        <v>0</v>
      </c>
    </row>
    <row r="607">
      <c r="A607" s="21">
        <v>46597.0</v>
      </c>
      <c r="B607" s="22">
        <f>SUMIF(Reservas!C:C,A607,Reservas!G:G)</f>
        <v>0</v>
      </c>
      <c r="C607" s="22">
        <f t="shared" si="3"/>
        <v>48</v>
      </c>
      <c r="D607" s="22">
        <f>SUMIF(Reservas!C:C,A607,Reservas!I:I)</f>
        <v>0</v>
      </c>
    </row>
    <row r="608">
      <c r="A608" s="21">
        <v>46598.0</v>
      </c>
      <c r="B608" s="22">
        <f>SUMIF(Reservas!C:C,A608,Reservas!G:G)</f>
        <v>0</v>
      </c>
      <c r="C608" s="22">
        <f t="shared" si="3"/>
        <v>48</v>
      </c>
      <c r="D608" s="22">
        <f>SUMIF(Reservas!C:C,A608,Reservas!I:I)</f>
        <v>0</v>
      </c>
    </row>
    <row r="609">
      <c r="A609" s="21">
        <v>46599.0</v>
      </c>
      <c r="B609" s="22">
        <f>SUMIF(Reservas!C:C,A609,Reservas!G:G)</f>
        <v>0</v>
      </c>
      <c r="C609" s="22">
        <f t="shared" si="3"/>
        <v>48</v>
      </c>
      <c r="D609" s="22">
        <f>SUMIF(Reservas!C:C,A609,Reservas!I:I)</f>
        <v>0</v>
      </c>
    </row>
    <row r="610">
      <c r="A610" s="21">
        <v>46600.0</v>
      </c>
      <c r="B610" s="22">
        <f>SUMIF(Reservas!C:C,A610,Reservas!G:G)</f>
        <v>0</v>
      </c>
      <c r="C610" s="22">
        <f t="shared" si="3"/>
        <v>48</v>
      </c>
      <c r="D610" s="22">
        <f>SUMIF(Reservas!C:C,A610,Reservas!I:I)</f>
        <v>0</v>
      </c>
    </row>
    <row r="611">
      <c r="A611" s="21">
        <v>46601.0</v>
      </c>
      <c r="B611" s="22">
        <f>SUMIF(Reservas!C:C,A611,Reservas!G:G)</f>
        <v>0</v>
      </c>
      <c r="C611" s="22">
        <f t="shared" si="3"/>
        <v>48</v>
      </c>
      <c r="D611" s="22">
        <f>SUMIF(Reservas!C:C,A611,Reservas!I:I)</f>
        <v>0</v>
      </c>
    </row>
    <row r="612">
      <c r="A612" s="21">
        <v>46602.0</v>
      </c>
      <c r="B612" s="22">
        <f>SUMIF(Reservas!C:C,A612,Reservas!G:G)</f>
        <v>0</v>
      </c>
      <c r="C612" s="22">
        <f t="shared" si="3"/>
        <v>48</v>
      </c>
      <c r="D612" s="22">
        <f>SUMIF(Reservas!C:C,A612,Reservas!I:I)</f>
        <v>0</v>
      </c>
    </row>
    <row r="613">
      <c r="A613" s="21">
        <v>46603.0</v>
      </c>
      <c r="B613" s="22">
        <f>SUMIF(Reservas!C:C,A613,Reservas!G:G)</f>
        <v>0</v>
      </c>
      <c r="C613" s="22">
        <f t="shared" si="3"/>
        <v>48</v>
      </c>
      <c r="D613" s="22">
        <f>SUMIF(Reservas!C:C,A613,Reservas!I:I)</f>
        <v>0</v>
      </c>
    </row>
    <row r="614">
      <c r="A614" s="21">
        <v>46604.0</v>
      </c>
      <c r="B614" s="22">
        <f>SUMIF(Reservas!C:C,A614,Reservas!G:G)</f>
        <v>0</v>
      </c>
      <c r="C614" s="22">
        <f t="shared" si="3"/>
        <v>48</v>
      </c>
      <c r="D614" s="22">
        <f>SUMIF(Reservas!C:C,A614,Reservas!I:I)</f>
        <v>0</v>
      </c>
    </row>
    <row r="615">
      <c r="A615" s="21">
        <v>46605.0</v>
      </c>
      <c r="B615" s="22">
        <f>SUMIF(Reservas!C:C,A615,Reservas!G:G)</f>
        <v>0</v>
      </c>
      <c r="C615" s="22">
        <f t="shared" si="3"/>
        <v>48</v>
      </c>
      <c r="D615" s="22">
        <f>SUMIF(Reservas!C:C,A615,Reservas!I:I)</f>
        <v>0</v>
      </c>
    </row>
    <row r="616">
      <c r="A616" s="21">
        <v>46606.0</v>
      </c>
      <c r="B616" s="22">
        <f>SUMIF(Reservas!C:C,A616,Reservas!G:G)</f>
        <v>0</v>
      </c>
      <c r="C616" s="22">
        <f t="shared" si="3"/>
        <v>48</v>
      </c>
      <c r="D616" s="22">
        <f>SUMIF(Reservas!C:C,A616,Reservas!I:I)</f>
        <v>0</v>
      </c>
    </row>
    <row r="617">
      <c r="A617" s="21">
        <v>46607.0</v>
      </c>
      <c r="B617" s="22">
        <f>SUMIF(Reservas!C:C,A617,Reservas!G:G)</f>
        <v>0</v>
      </c>
      <c r="C617" s="22">
        <f t="shared" si="3"/>
        <v>48</v>
      </c>
      <c r="D617" s="22">
        <f>SUMIF(Reservas!C:C,A617,Reservas!I:I)</f>
        <v>0</v>
      </c>
    </row>
    <row r="618">
      <c r="A618" s="21">
        <v>46608.0</v>
      </c>
      <c r="B618" s="22">
        <f>SUMIF(Reservas!C:C,A618,Reservas!G:G)</f>
        <v>0</v>
      </c>
      <c r="C618" s="22">
        <f t="shared" si="3"/>
        <v>48</v>
      </c>
      <c r="D618" s="22">
        <f>SUMIF(Reservas!C:C,A618,Reservas!I:I)</f>
        <v>0</v>
      </c>
    </row>
    <row r="619">
      <c r="A619" s="21">
        <v>46609.0</v>
      </c>
      <c r="B619" s="22">
        <f>SUMIF(Reservas!C:C,A619,Reservas!G:G)</f>
        <v>0</v>
      </c>
      <c r="C619" s="22">
        <f t="shared" si="3"/>
        <v>48</v>
      </c>
      <c r="D619" s="22">
        <f>SUMIF(Reservas!C:C,A619,Reservas!I:I)</f>
        <v>0</v>
      </c>
    </row>
    <row r="620">
      <c r="A620" s="21">
        <v>46610.0</v>
      </c>
      <c r="B620" s="22">
        <f>SUMIF(Reservas!C:C,A620,Reservas!G:G)</f>
        <v>0</v>
      </c>
      <c r="C620" s="22">
        <f t="shared" si="3"/>
        <v>48</v>
      </c>
      <c r="D620" s="22">
        <f>SUMIF(Reservas!C:C,A620,Reservas!I:I)</f>
        <v>0</v>
      </c>
    </row>
    <row r="621">
      <c r="A621" s="21">
        <v>46611.0</v>
      </c>
      <c r="B621" s="22">
        <f>SUMIF(Reservas!C:C,A621,Reservas!G:G)</f>
        <v>0</v>
      </c>
      <c r="C621" s="22">
        <f t="shared" si="3"/>
        <v>48</v>
      </c>
      <c r="D621" s="22">
        <f>SUMIF(Reservas!C:C,A621,Reservas!I:I)</f>
        <v>0</v>
      </c>
    </row>
    <row r="622">
      <c r="A622" s="21">
        <v>46612.0</v>
      </c>
      <c r="B622" s="22">
        <f>SUMIF(Reservas!C:C,A622,Reservas!G:G)</f>
        <v>0</v>
      </c>
      <c r="C622" s="22">
        <f t="shared" si="3"/>
        <v>48</v>
      </c>
      <c r="D622" s="22">
        <f>SUMIF(Reservas!C:C,A622,Reservas!I:I)</f>
        <v>0</v>
      </c>
    </row>
    <row r="623">
      <c r="A623" s="21">
        <v>46613.0</v>
      </c>
      <c r="B623" s="22">
        <f>SUMIF(Reservas!C:C,A623,Reservas!G:G)</f>
        <v>0</v>
      </c>
      <c r="C623" s="22">
        <f t="shared" si="3"/>
        <v>48</v>
      </c>
      <c r="D623" s="22">
        <f>SUMIF(Reservas!C:C,A623,Reservas!I:I)</f>
        <v>0</v>
      </c>
    </row>
    <row r="624">
      <c r="A624" s="21">
        <v>46614.0</v>
      </c>
      <c r="B624" s="22">
        <f>SUMIF(Reservas!C:C,A624,Reservas!G:G)</f>
        <v>0</v>
      </c>
      <c r="C624" s="22">
        <f t="shared" si="3"/>
        <v>48</v>
      </c>
      <c r="D624" s="22">
        <f>SUMIF(Reservas!C:C,A624,Reservas!I:I)</f>
        <v>0</v>
      </c>
    </row>
    <row r="625">
      <c r="A625" s="21">
        <v>46615.0</v>
      </c>
      <c r="B625" s="22">
        <f>SUMIF(Reservas!C:C,A625,Reservas!G:G)</f>
        <v>0</v>
      </c>
      <c r="C625" s="22">
        <f t="shared" si="3"/>
        <v>48</v>
      </c>
      <c r="D625" s="22">
        <f>SUMIF(Reservas!C:C,A625,Reservas!I:I)</f>
        <v>0</v>
      </c>
    </row>
    <row r="626">
      <c r="A626" s="21">
        <v>46616.0</v>
      </c>
      <c r="B626" s="22">
        <f>SUMIF(Reservas!C:C,A626,Reservas!G:G)</f>
        <v>0</v>
      </c>
      <c r="C626" s="22">
        <f t="shared" si="3"/>
        <v>48</v>
      </c>
      <c r="D626" s="22">
        <f>SUMIF(Reservas!C:C,A626,Reservas!I:I)</f>
        <v>0</v>
      </c>
    </row>
    <row r="627">
      <c r="A627" s="21">
        <v>46617.0</v>
      </c>
      <c r="B627" s="22">
        <f>SUMIF(Reservas!C:C,A627,Reservas!G:G)</f>
        <v>0</v>
      </c>
      <c r="C627" s="22">
        <f t="shared" si="3"/>
        <v>48</v>
      </c>
      <c r="D627" s="22">
        <f>SUMIF(Reservas!C:C,A627,Reservas!I:I)</f>
        <v>0</v>
      </c>
    </row>
    <row r="628">
      <c r="A628" s="21">
        <v>46618.0</v>
      </c>
      <c r="B628" s="22">
        <f>SUMIF(Reservas!C:C,A628,Reservas!G:G)</f>
        <v>0</v>
      </c>
      <c r="C628" s="22">
        <f t="shared" si="3"/>
        <v>48</v>
      </c>
      <c r="D628" s="22">
        <f>SUMIF(Reservas!C:C,A628,Reservas!I:I)</f>
        <v>0</v>
      </c>
    </row>
    <row r="629">
      <c r="A629" s="21">
        <v>46619.0</v>
      </c>
      <c r="B629" s="22">
        <f>SUMIF(Reservas!C:C,A629,Reservas!G:G)</f>
        <v>0</v>
      </c>
      <c r="C629" s="22">
        <f t="shared" si="3"/>
        <v>48</v>
      </c>
      <c r="D629" s="22">
        <f>SUMIF(Reservas!C:C,A629,Reservas!I:I)</f>
        <v>0</v>
      </c>
    </row>
    <row r="630">
      <c r="A630" s="21">
        <v>46620.0</v>
      </c>
      <c r="B630" s="22">
        <f>SUMIF(Reservas!C:C,A630,Reservas!G:G)</f>
        <v>0</v>
      </c>
      <c r="C630" s="22">
        <f t="shared" si="3"/>
        <v>48</v>
      </c>
      <c r="D630" s="22">
        <f>SUMIF(Reservas!C:C,A630,Reservas!I:I)</f>
        <v>0</v>
      </c>
    </row>
    <row r="631">
      <c r="A631" s="21">
        <v>46621.0</v>
      </c>
      <c r="B631" s="22">
        <f>SUMIF(Reservas!C:C,A631,Reservas!G:G)</f>
        <v>0</v>
      </c>
      <c r="C631" s="22">
        <f t="shared" si="3"/>
        <v>48</v>
      </c>
      <c r="D631" s="22">
        <f>SUMIF(Reservas!C:C,A631,Reservas!I:I)</f>
        <v>0</v>
      </c>
    </row>
    <row r="632">
      <c r="A632" s="21">
        <v>46622.0</v>
      </c>
      <c r="B632" s="22">
        <f>SUMIF(Reservas!C:C,A632,Reservas!G:G)</f>
        <v>0</v>
      </c>
      <c r="C632" s="22">
        <f t="shared" si="3"/>
        <v>48</v>
      </c>
      <c r="D632" s="22">
        <f>SUMIF(Reservas!C:C,A632,Reservas!I:I)</f>
        <v>0</v>
      </c>
    </row>
    <row r="633">
      <c r="A633" s="21">
        <v>46623.0</v>
      </c>
      <c r="B633" s="22">
        <f>SUMIF(Reservas!C:C,A633,Reservas!G:G)</f>
        <v>0</v>
      </c>
      <c r="C633" s="22">
        <f t="shared" si="3"/>
        <v>48</v>
      </c>
      <c r="D633" s="22">
        <f>SUMIF(Reservas!C:C,A633,Reservas!I:I)</f>
        <v>0</v>
      </c>
    </row>
    <row r="634">
      <c r="A634" s="21">
        <v>46624.0</v>
      </c>
      <c r="B634" s="22">
        <f>SUMIF(Reservas!C:C,A634,Reservas!G:G)</f>
        <v>0</v>
      </c>
      <c r="C634" s="22">
        <f t="shared" si="3"/>
        <v>48</v>
      </c>
      <c r="D634" s="22">
        <f>SUMIF(Reservas!C:C,A634,Reservas!I:I)</f>
        <v>0</v>
      </c>
    </row>
    <row r="635">
      <c r="A635" s="21">
        <v>46625.0</v>
      </c>
      <c r="B635" s="22">
        <f>SUMIF(Reservas!C:C,A635,Reservas!G:G)</f>
        <v>0</v>
      </c>
      <c r="C635" s="22">
        <f t="shared" si="3"/>
        <v>48</v>
      </c>
      <c r="D635" s="22">
        <f>SUMIF(Reservas!C:C,A635,Reservas!I:I)</f>
        <v>0</v>
      </c>
    </row>
    <row r="636">
      <c r="A636" s="21">
        <v>46626.0</v>
      </c>
      <c r="B636" s="22">
        <f>SUMIF(Reservas!C:C,A636,Reservas!G:G)</f>
        <v>0</v>
      </c>
      <c r="C636" s="22">
        <f t="shared" si="3"/>
        <v>48</v>
      </c>
      <c r="D636" s="22">
        <f>SUMIF(Reservas!C:C,A636,Reservas!I:I)</f>
        <v>0</v>
      </c>
    </row>
    <row r="637">
      <c r="A637" s="21">
        <v>46627.0</v>
      </c>
      <c r="B637" s="22">
        <f>SUMIF(Reservas!C:C,A637,Reservas!G:G)</f>
        <v>0</v>
      </c>
      <c r="C637" s="22">
        <f t="shared" si="3"/>
        <v>48</v>
      </c>
      <c r="D637" s="22">
        <f>SUMIF(Reservas!C:C,A637,Reservas!I:I)</f>
        <v>0</v>
      </c>
    </row>
    <row r="638">
      <c r="A638" s="21">
        <v>46628.0</v>
      </c>
      <c r="B638" s="22">
        <f>SUMIF(Reservas!C:C,A638,Reservas!G:G)</f>
        <v>0</v>
      </c>
      <c r="C638" s="22">
        <f t="shared" si="3"/>
        <v>48</v>
      </c>
      <c r="D638" s="22">
        <f>SUMIF(Reservas!C:C,A638,Reservas!I:I)</f>
        <v>0</v>
      </c>
    </row>
    <row r="639">
      <c r="A639" s="21">
        <v>46629.0</v>
      </c>
      <c r="B639" s="22">
        <f>SUMIF(Reservas!C:C,A639,Reservas!G:G)</f>
        <v>0</v>
      </c>
      <c r="C639" s="22">
        <f t="shared" si="3"/>
        <v>48</v>
      </c>
      <c r="D639" s="22">
        <f>SUMIF(Reservas!C:C,A639,Reservas!I:I)</f>
        <v>0</v>
      </c>
    </row>
    <row r="640">
      <c r="A640" s="21">
        <v>46630.0</v>
      </c>
      <c r="B640" s="22">
        <f>SUMIF(Reservas!C:C,A640,Reservas!G:G)</f>
        <v>0</v>
      </c>
      <c r="C640" s="22">
        <f t="shared" si="3"/>
        <v>48</v>
      </c>
      <c r="D640" s="22">
        <f>SUMIF(Reservas!C:C,A640,Reservas!I:I)</f>
        <v>0</v>
      </c>
    </row>
    <row r="641">
      <c r="A641" s="21">
        <v>46631.0</v>
      </c>
      <c r="B641" s="22">
        <f>SUMIF(Reservas!C:C,A641,Reservas!G:G)</f>
        <v>0</v>
      </c>
      <c r="C641" s="22">
        <f t="shared" si="3"/>
        <v>48</v>
      </c>
      <c r="D641" s="22">
        <f>SUMIF(Reservas!C:C,A641,Reservas!I:I)</f>
        <v>0</v>
      </c>
    </row>
    <row r="642">
      <c r="A642" s="21">
        <v>46632.0</v>
      </c>
      <c r="B642" s="22">
        <f>SUMIF(Reservas!C:C,A642,Reservas!G:G)</f>
        <v>0</v>
      </c>
      <c r="C642" s="22">
        <f t="shared" si="3"/>
        <v>48</v>
      </c>
      <c r="D642" s="22">
        <f>SUMIF(Reservas!C:C,A642,Reservas!I:I)</f>
        <v>0</v>
      </c>
    </row>
    <row r="643">
      <c r="A643" s="21">
        <v>46633.0</v>
      </c>
      <c r="B643" s="22">
        <f>SUMIF(Reservas!C:C,A643,Reservas!G:G)</f>
        <v>0</v>
      </c>
      <c r="C643" s="22">
        <f t="shared" si="3"/>
        <v>48</v>
      </c>
      <c r="D643" s="22">
        <f>SUMIF(Reservas!C:C,A643,Reservas!I:I)</f>
        <v>0</v>
      </c>
    </row>
    <row r="644">
      <c r="A644" s="21">
        <v>46634.0</v>
      </c>
      <c r="B644" s="22">
        <f>SUMIF(Reservas!C:C,A644,Reservas!G:G)</f>
        <v>0</v>
      </c>
      <c r="C644" s="22">
        <f t="shared" si="3"/>
        <v>48</v>
      </c>
      <c r="D644" s="22">
        <f>SUMIF(Reservas!C:C,A644,Reservas!I:I)</f>
        <v>0</v>
      </c>
    </row>
    <row r="645">
      <c r="A645" s="21">
        <v>46635.0</v>
      </c>
      <c r="B645" s="22">
        <f>SUMIF(Reservas!C:C,A645,Reservas!G:G)</f>
        <v>0</v>
      </c>
      <c r="C645" s="22">
        <f t="shared" si="3"/>
        <v>48</v>
      </c>
      <c r="D645" s="22">
        <f>SUMIF(Reservas!C:C,A645,Reservas!I:I)</f>
        <v>0</v>
      </c>
    </row>
    <row r="646">
      <c r="A646" s="21">
        <v>46636.0</v>
      </c>
      <c r="B646" s="22">
        <f>SUMIF(Reservas!C:C,A646,Reservas!G:G)</f>
        <v>0</v>
      </c>
      <c r="C646" s="22">
        <f t="shared" si="3"/>
        <v>48</v>
      </c>
      <c r="D646" s="22">
        <f>SUMIF(Reservas!C:C,A646,Reservas!I:I)</f>
        <v>0</v>
      </c>
    </row>
    <row r="647">
      <c r="A647" s="21">
        <v>46637.0</v>
      </c>
      <c r="B647" s="22">
        <f>SUMIF(Reservas!C:C,A647,Reservas!G:G)</f>
        <v>0</v>
      </c>
      <c r="C647" s="22">
        <f t="shared" si="3"/>
        <v>48</v>
      </c>
      <c r="D647" s="22">
        <f>SUMIF(Reservas!C:C,A647,Reservas!I:I)</f>
        <v>0</v>
      </c>
    </row>
    <row r="648">
      <c r="A648" s="21">
        <v>46638.0</v>
      </c>
      <c r="B648" s="22">
        <f>SUMIF(Reservas!C:C,A648,Reservas!G:G)</f>
        <v>0</v>
      </c>
      <c r="C648" s="22">
        <f t="shared" si="3"/>
        <v>48</v>
      </c>
      <c r="D648" s="22">
        <f>SUMIF(Reservas!C:C,A648,Reservas!I:I)</f>
        <v>0</v>
      </c>
    </row>
    <row r="649">
      <c r="A649" s="21">
        <v>46639.0</v>
      </c>
      <c r="B649" s="22">
        <f>SUMIF(Reservas!C:C,A649,Reservas!G:G)</f>
        <v>0</v>
      </c>
      <c r="C649" s="22">
        <f t="shared" si="3"/>
        <v>48</v>
      </c>
      <c r="D649" s="22">
        <f>SUMIF(Reservas!C:C,A649,Reservas!I:I)</f>
        <v>0</v>
      </c>
    </row>
    <row r="650">
      <c r="A650" s="21">
        <v>46640.0</v>
      </c>
      <c r="B650" s="22">
        <f>SUMIF(Reservas!C:C,A650,Reservas!G:G)</f>
        <v>0</v>
      </c>
      <c r="C650" s="22">
        <f t="shared" si="3"/>
        <v>48</v>
      </c>
      <c r="D650" s="22">
        <f>SUMIF(Reservas!C:C,A650,Reservas!I:I)</f>
        <v>0</v>
      </c>
    </row>
    <row r="651">
      <c r="A651" s="21">
        <v>46641.0</v>
      </c>
      <c r="B651" s="22">
        <f>SUMIF(Reservas!C:C,A651,Reservas!G:G)</f>
        <v>0</v>
      </c>
      <c r="C651" s="22">
        <f t="shared" si="3"/>
        <v>48</v>
      </c>
      <c r="D651" s="22">
        <f>SUMIF(Reservas!C:C,A651,Reservas!I:I)</f>
        <v>0</v>
      </c>
    </row>
    <row r="652">
      <c r="A652" s="21">
        <v>46642.0</v>
      </c>
      <c r="B652" s="22">
        <f>SUMIF(Reservas!C:C,A652,Reservas!G:G)</f>
        <v>0</v>
      </c>
      <c r="C652" s="22">
        <f t="shared" si="3"/>
        <v>48</v>
      </c>
      <c r="D652" s="22">
        <f>SUMIF(Reservas!C:C,A652,Reservas!I:I)</f>
        <v>0</v>
      </c>
    </row>
    <row r="653">
      <c r="A653" s="21">
        <v>46643.0</v>
      </c>
      <c r="B653" s="22">
        <f>SUMIF(Reservas!C:C,A653,Reservas!G:G)</f>
        <v>0</v>
      </c>
      <c r="C653" s="22">
        <f t="shared" si="3"/>
        <v>48</v>
      </c>
      <c r="D653" s="22">
        <f>SUMIF(Reservas!C:C,A653,Reservas!I:I)</f>
        <v>0</v>
      </c>
    </row>
    <row r="654">
      <c r="A654" s="21">
        <v>46644.0</v>
      </c>
      <c r="B654" s="22">
        <f>SUMIF(Reservas!C:C,A654,Reservas!G:G)</f>
        <v>0</v>
      </c>
      <c r="C654" s="22">
        <f t="shared" si="3"/>
        <v>48</v>
      </c>
      <c r="D654" s="22">
        <f>SUMIF(Reservas!C:C,A654,Reservas!I:I)</f>
        <v>0</v>
      </c>
    </row>
    <row r="655">
      <c r="A655" s="21">
        <v>46645.0</v>
      </c>
      <c r="B655" s="22">
        <f>SUMIF(Reservas!C:C,A655,Reservas!G:G)</f>
        <v>0</v>
      </c>
      <c r="C655" s="22">
        <f t="shared" si="3"/>
        <v>48</v>
      </c>
      <c r="D655" s="22">
        <f>SUMIF(Reservas!C:C,A655,Reservas!I:I)</f>
        <v>0</v>
      </c>
    </row>
    <row r="656">
      <c r="A656" s="21">
        <v>46646.0</v>
      </c>
      <c r="B656" s="22">
        <f>SUMIF(Reservas!C:C,A656,Reservas!G:G)</f>
        <v>0</v>
      </c>
      <c r="C656" s="22">
        <f t="shared" si="3"/>
        <v>48</v>
      </c>
      <c r="D656" s="22">
        <f>SUMIF(Reservas!C:C,A656,Reservas!I:I)</f>
        <v>0</v>
      </c>
    </row>
    <row r="657">
      <c r="A657" s="21">
        <v>46647.0</v>
      </c>
      <c r="B657" s="22">
        <f>SUMIF(Reservas!C:C,A657,Reservas!G:G)</f>
        <v>0</v>
      </c>
      <c r="C657" s="22">
        <f t="shared" si="3"/>
        <v>48</v>
      </c>
      <c r="D657" s="22">
        <f>SUMIF(Reservas!C:C,A657,Reservas!I:I)</f>
        <v>0</v>
      </c>
    </row>
    <row r="658">
      <c r="A658" s="21">
        <v>46648.0</v>
      </c>
      <c r="B658" s="22">
        <f>SUMIF(Reservas!C:C,A658,Reservas!G:G)</f>
        <v>0</v>
      </c>
      <c r="C658" s="22">
        <f t="shared" si="3"/>
        <v>48</v>
      </c>
      <c r="D658" s="22">
        <f>SUMIF(Reservas!C:C,A658,Reservas!I:I)</f>
        <v>0</v>
      </c>
    </row>
    <row r="659">
      <c r="A659" s="21">
        <v>46649.0</v>
      </c>
      <c r="B659" s="22">
        <f>SUMIF(Reservas!C:C,A659,Reservas!G:G)</f>
        <v>0</v>
      </c>
      <c r="C659" s="22">
        <f t="shared" si="3"/>
        <v>48</v>
      </c>
      <c r="D659" s="22">
        <f>SUMIF(Reservas!C:C,A659,Reservas!I:I)</f>
        <v>0</v>
      </c>
    </row>
    <row r="660">
      <c r="A660" s="21">
        <v>46650.0</v>
      </c>
      <c r="B660" s="22">
        <f>SUMIF(Reservas!C:C,A660,Reservas!G:G)</f>
        <v>0</v>
      </c>
      <c r="C660" s="22">
        <f t="shared" si="3"/>
        <v>48</v>
      </c>
      <c r="D660" s="22">
        <f>SUMIF(Reservas!C:C,A660,Reservas!I:I)</f>
        <v>0</v>
      </c>
    </row>
    <row r="661">
      <c r="A661" s="21">
        <v>46651.0</v>
      </c>
      <c r="B661" s="22">
        <f>SUMIF(Reservas!C:C,A661,Reservas!G:G)</f>
        <v>0</v>
      </c>
      <c r="C661" s="22">
        <f t="shared" si="3"/>
        <v>48</v>
      </c>
      <c r="D661" s="22">
        <f>SUMIF(Reservas!C:C,A661,Reservas!I:I)</f>
        <v>0</v>
      </c>
    </row>
    <row r="662">
      <c r="A662" s="21">
        <v>46652.0</v>
      </c>
      <c r="B662" s="22">
        <f>SUMIF(Reservas!C:C,A662,Reservas!G:G)</f>
        <v>0</v>
      </c>
      <c r="C662" s="22">
        <f t="shared" si="3"/>
        <v>48</v>
      </c>
      <c r="D662" s="22">
        <f>SUMIF(Reservas!C:C,A662,Reservas!I:I)</f>
        <v>0</v>
      </c>
    </row>
    <row r="663">
      <c r="A663" s="21">
        <v>46653.0</v>
      </c>
      <c r="B663" s="22">
        <f>SUMIF(Reservas!C:C,A663,Reservas!G:G)</f>
        <v>0</v>
      </c>
      <c r="C663" s="22">
        <f t="shared" si="3"/>
        <v>48</v>
      </c>
      <c r="D663" s="22">
        <f>SUMIF(Reservas!C:C,A663,Reservas!I:I)</f>
        <v>0</v>
      </c>
    </row>
    <row r="664">
      <c r="A664" s="21">
        <v>46654.0</v>
      </c>
      <c r="B664" s="22">
        <f>SUMIF(Reservas!C:C,A664,Reservas!G:G)</f>
        <v>0</v>
      </c>
      <c r="C664" s="22">
        <f t="shared" si="3"/>
        <v>48</v>
      </c>
      <c r="D664" s="22">
        <f>SUMIF(Reservas!C:C,A664,Reservas!I:I)</f>
        <v>0</v>
      </c>
    </row>
    <row r="665">
      <c r="A665" s="21">
        <v>46655.0</v>
      </c>
      <c r="B665" s="22">
        <f>SUMIF(Reservas!C:C,A665,Reservas!G:G)</f>
        <v>0</v>
      </c>
      <c r="C665" s="22">
        <f t="shared" si="3"/>
        <v>48</v>
      </c>
      <c r="D665" s="22">
        <f>SUMIF(Reservas!C:C,A665,Reservas!I:I)</f>
        <v>0</v>
      </c>
    </row>
    <row r="666">
      <c r="A666" s="21">
        <v>46656.0</v>
      </c>
      <c r="B666" s="22">
        <f>SUMIF(Reservas!C:C,A666,Reservas!G:G)</f>
        <v>0</v>
      </c>
      <c r="C666" s="22">
        <f t="shared" si="3"/>
        <v>48</v>
      </c>
      <c r="D666" s="22">
        <f>SUMIF(Reservas!C:C,A666,Reservas!I:I)</f>
        <v>0</v>
      </c>
    </row>
    <row r="667">
      <c r="A667" s="21">
        <v>46657.0</v>
      </c>
      <c r="B667" s="22">
        <f>SUMIF(Reservas!C:C,A667,Reservas!G:G)</f>
        <v>0</v>
      </c>
      <c r="C667" s="22">
        <f t="shared" si="3"/>
        <v>48</v>
      </c>
      <c r="D667" s="22">
        <f>SUMIF(Reservas!C:C,A667,Reservas!I:I)</f>
        <v>0</v>
      </c>
    </row>
    <row r="668">
      <c r="A668" s="21">
        <v>46658.0</v>
      </c>
      <c r="B668" s="22">
        <f>SUMIF(Reservas!C:C,A668,Reservas!G:G)</f>
        <v>0</v>
      </c>
      <c r="C668" s="22">
        <f t="shared" si="3"/>
        <v>48</v>
      </c>
      <c r="D668" s="22">
        <f>SUMIF(Reservas!C:C,A668,Reservas!I:I)</f>
        <v>0</v>
      </c>
    </row>
    <row r="669">
      <c r="A669" s="21">
        <v>46659.0</v>
      </c>
      <c r="B669" s="22">
        <f>SUMIF(Reservas!C:C,A669,Reservas!G:G)</f>
        <v>0</v>
      </c>
      <c r="C669" s="22">
        <f t="shared" si="3"/>
        <v>48</v>
      </c>
      <c r="D669" s="22">
        <f>SUMIF(Reservas!C:C,A669,Reservas!I:I)</f>
        <v>0</v>
      </c>
    </row>
    <row r="670">
      <c r="A670" s="21">
        <v>46660.0</v>
      </c>
      <c r="B670" s="22">
        <f>SUMIF(Reservas!C:C,A670,Reservas!G:G)</f>
        <v>0</v>
      </c>
      <c r="C670" s="22">
        <f t="shared" si="3"/>
        <v>48</v>
      </c>
      <c r="D670" s="22">
        <f>SUMIF(Reservas!C:C,A670,Reservas!I:I)</f>
        <v>0</v>
      </c>
    </row>
    <row r="671">
      <c r="A671" s="21">
        <v>46661.0</v>
      </c>
      <c r="B671" s="22">
        <f>SUMIF(Reservas!C:C,A671,Reservas!G:G)</f>
        <v>0</v>
      </c>
      <c r="C671" s="22">
        <f t="shared" si="3"/>
        <v>48</v>
      </c>
      <c r="D671" s="22">
        <f>SUMIF(Reservas!C:C,A671,Reservas!I:I)</f>
        <v>0</v>
      </c>
    </row>
    <row r="672">
      <c r="A672" s="21">
        <v>46662.0</v>
      </c>
      <c r="B672" s="22">
        <f>SUMIF(Reservas!C:C,A672,Reservas!G:G)</f>
        <v>0</v>
      </c>
      <c r="C672" s="22">
        <f t="shared" si="3"/>
        <v>48</v>
      </c>
      <c r="D672" s="22">
        <f>SUMIF(Reservas!C:C,A672,Reservas!I:I)</f>
        <v>0</v>
      </c>
    </row>
    <row r="673">
      <c r="A673" s="21">
        <v>46663.0</v>
      </c>
      <c r="B673" s="22">
        <f>SUMIF(Reservas!C:C,A673,Reservas!G:G)</f>
        <v>0</v>
      </c>
      <c r="C673" s="22">
        <f t="shared" si="3"/>
        <v>48</v>
      </c>
      <c r="D673" s="22">
        <f>SUMIF(Reservas!C:C,A673,Reservas!I:I)</f>
        <v>0</v>
      </c>
    </row>
    <row r="674">
      <c r="A674" s="21">
        <v>46664.0</v>
      </c>
      <c r="B674" s="22">
        <f>SUMIF(Reservas!C:C,A674,Reservas!G:G)</f>
        <v>0</v>
      </c>
      <c r="C674" s="22">
        <f t="shared" si="3"/>
        <v>48</v>
      </c>
      <c r="D674" s="22">
        <f>SUMIF(Reservas!C:C,A674,Reservas!I:I)</f>
        <v>0</v>
      </c>
    </row>
    <row r="675">
      <c r="A675" s="21">
        <v>46665.0</v>
      </c>
      <c r="B675" s="22">
        <f>SUMIF(Reservas!C:C,A675,Reservas!G:G)</f>
        <v>0</v>
      </c>
      <c r="C675" s="22">
        <f t="shared" si="3"/>
        <v>48</v>
      </c>
      <c r="D675" s="22">
        <f>SUMIF(Reservas!C:C,A675,Reservas!I:I)</f>
        <v>0</v>
      </c>
    </row>
    <row r="676">
      <c r="A676" s="21">
        <v>46666.0</v>
      </c>
      <c r="B676" s="22">
        <f>SUMIF(Reservas!C:C,A676,Reservas!G:G)</f>
        <v>0</v>
      </c>
      <c r="C676" s="22">
        <f t="shared" si="3"/>
        <v>48</v>
      </c>
      <c r="D676" s="22">
        <f>SUMIF(Reservas!C:C,A676,Reservas!I:I)</f>
        <v>0</v>
      </c>
    </row>
    <row r="677">
      <c r="A677" s="21">
        <v>46667.0</v>
      </c>
      <c r="B677" s="22">
        <f>SUMIF(Reservas!C:C,A677,Reservas!G:G)</f>
        <v>0</v>
      </c>
      <c r="C677" s="22">
        <f t="shared" si="3"/>
        <v>48</v>
      </c>
      <c r="D677" s="22">
        <f>SUMIF(Reservas!C:C,A677,Reservas!I:I)</f>
        <v>0</v>
      </c>
    </row>
    <row r="678">
      <c r="A678" s="21">
        <v>46668.0</v>
      </c>
      <c r="B678" s="22">
        <f>SUMIF(Reservas!C:C,A678,Reservas!G:G)</f>
        <v>0</v>
      </c>
      <c r="C678" s="22">
        <f t="shared" si="3"/>
        <v>48</v>
      </c>
      <c r="D678" s="22">
        <f>SUMIF(Reservas!C:C,A678,Reservas!I:I)</f>
        <v>0</v>
      </c>
    </row>
    <row r="679">
      <c r="A679" s="21">
        <v>46669.0</v>
      </c>
      <c r="B679" s="22">
        <f>SUMIF(Reservas!C:C,A679,Reservas!G:G)</f>
        <v>0</v>
      </c>
      <c r="C679" s="22">
        <f t="shared" si="3"/>
        <v>48</v>
      </c>
      <c r="D679" s="22">
        <f>SUMIF(Reservas!C:C,A679,Reservas!I:I)</f>
        <v>0</v>
      </c>
    </row>
    <row r="680">
      <c r="A680" s="21">
        <v>46670.0</v>
      </c>
      <c r="B680" s="22">
        <f>SUMIF(Reservas!C:C,A680,Reservas!G:G)</f>
        <v>0</v>
      </c>
      <c r="C680" s="22">
        <f t="shared" si="3"/>
        <v>48</v>
      </c>
      <c r="D680" s="22">
        <f>SUMIF(Reservas!C:C,A680,Reservas!I:I)</f>
        <v>0</v>
      </c>
    </row>
    <row r="681">
      <c r="A681" s="21">
        <v>46671.0</v>
      </c>
      <c r="B681" s="22">
        <f>SUMIF(Reservas!C:C,A681,Reservas!G:G)</f>
        <v>0</v>
      </c>
      <c r="C681" s="22">
        <f t="shared" si="3"/>
        <v>48</v>
      </c>
      <c r="D681" s="22">
        <f>SUMIF(Reservas!C:C,A681,Reservas!I:I)</f>
        <v>0</v>
      </c>
    </row>
    <row r="682">
      <c r="A682" s="21">
        <v>46672.0</v>
      </c>
      <c r="B682" s="22">
        <f>SUMIF(Reservas!C:C,A682,Reservas!G:G)</f>
        <v>0</v>
      </c>
      <c r="C682" s="22">
        <f t="shared" si="3"/>
        <v>48</v>
      </c>
      <c r="D682" s="22">
        <f>SUMIF(Reservas!C:C,A682,Reservas!I:I)</f>
        <v>0</v>
      </c>
    </row>
    <row r="683">
      <c r="A683" s="21">
        <v>46673.0</v>
      </c>
      <c r="B683" s="22">
        <f>SUMIF(Reservas!C:C,A683,Reservas!G:G)</f>
        <v>0</v>
      </c>
      <c r="C683" s="22">
        <f t="shared" si="3"/>
        <v>48</v>
      </c>
      <c r="D683" s="22">
        <f>SUMIF(Reservas!C:C,A683,Reservas!I:I)</f>
        <v>0</v>
      </c>
    </row>
    <row r="684">
      <c r="A684" s="21">
        <v>46674.0</v>
      </c>
      <c r="B684" s="22">
        <f>SUMIF(Reservas!C:C,A684,Reservas!G:G)</f>
        <v>0</v>
      </c>
      <c r="C684" s="22">
        <f t="shared" si="3"/>
        <v>48</v>
      </c>
      <c r="D684" s="22">
        <f>SUMIF(Reservas!C:C,A684,Reservas!I:I)</f>
        <v>0</v>
      </c>
    </row>
    <row r="685">
      <c r="A685" s="21">
        <v>46675.0</v>
      </c>
      <c r="B685" s="22">
        <f>SUMIF(Reservas!C:C,A685,Reservas!G:G)</f>
        <v>0</v>
      </c>
      <c r="C685" s="22">
        <f t="shared" si="3"/>
        <v>48</v>
      </c>
      <c r="D685" s="22">
        <f>SUMIF(Reservas!C:C,A685,Reservas!I:I)</f>
        <v>0</v>
      </c>
    </row>
    <row r="686">
      <c r="A686" s="21">
        <v>46676.0</v>
      </c>
      <c r="B686" s="22">
        <f>SUMIF(Reservas!C:C,A686,Reservas!G:G)</f>
        <v>0</v>
      </c>
      <c r="C686" s="22">
        <f t="shared" si="3"/>
        <v>48</v>
      </c>
      <c r="D686" s="22">
        <f>SUMIF(Reservas!C:C,A686,Reservas!I:I)</f>
        <v>0</v>
      </c>
    </row>
    <row r="687">
      <c r="A687" s="21">
        <v>46677.0</v>
      </c>
      <c r="B687" s="22">
        <f>SUMIF(Reservas!C:C,A687,Reservas!G:G)</f>
        <v>0</v>
      </c>
      <c r="C687" s="22">
        <f t="shared" si="3"/>
        <v>48</v>
      </c>
      <c r="D687" s="22">
        <f>SUMIF(Reservas!C:C,A687,Reservas!I:I)</f>
        <v>0</v>
      </c>
    </row>
    <row r="688">
      <c r="A688" s="21">
        <v>46678.0</v>
      </c>
      <c r="B688" s="22">
        <f>SUMIF(Reservas!C:C,A688,Reservas!G:G)</f>
        <v>0</v>
      </c>
      <c r="C688" s="22">
        <f t="shared" si="3"/>
        <v>48</v>
      </c>
      <c r="D688" s="22">
        <f>SUMIF(Reservas!C:C,A688,Reservas!I:I)</f>
        <v>0</v>
      </c>
    </row>
    <row r="689">
      <c r="A689" s="21">
        <v>46679.0</v>
      </c>
      <c r="B689" s="22">
        <f>SUMIF(Reservas!C:C,A689,Reservas!G:G)</f>
        <v>0</v>
      </c>
      <c r="C689" s="22">
        <f t="shared" si="3"/>
        <v>48</v>
      </c>
      <c r="D689" s="22">
        <f>SUMIF(Reservas!C:C,A689,Reservas!I:I)</f>
        <v>0</v>
      </c>
    </row>
    <row r="690">
      <c r="A690" s="21">
        <v>46680.0</v>
      </c>
      <c r="B690" s="22">
        <f>SUMIF(Reservas!C:C,A690,Reservas!G:G)</f>
        <v>0</v>
      </c>
      <c r="C690" s="22">
        <f t="shared" si="3"/>
        <v>48</v>
      </c>
      <c r="D690" s="22">
        <f>SUMIF(Reservas!C:C,A690,Reservas!I:I)</f>
        <v>0</v>
      </c>
    </row>
    <row r="691">
      <c r="A691" s="21">
        <v>46681.0</v>
      </c>
      <c r="B691" s="22">
        <f>SUMIF(Reservas!C:C,A691,Reservas!G:G)</f>
        <v>0</v>
      </c>
      <c r="C691" s="22">
        <f t="shared" si="3"/>
        <v>48</v>
      </c>
      <c r="D691" s="22">
        <f>SUMIF(Reservas!C:C,A691,Reservas!I:I)</f>
        <v>0</v>
      </c>
    </row>
    <row r="692">
      <c r="A692" s="21">
        <v>46682.0</v>
      </c>
      <c r="B692" s="22">
        <f>SUMIF(Reservas!C:C,A692,Reservas!G:G)</f>
        <v>0</v>
      </c>
      <c r="C692" s="22">
        <f t="shared" si="3"/>
        <v>48</v>
      </c>
      <c r="D692" s="22">
        <f>SUMIF(Reservas!C:C,A692,Reservas!I:I)</f>
        <v>0</v>
      </c>
    </row>
    <row r="693">
      <c r="A693" s="21">
        <v>46683.0</v>
      </c>
      <c r="B693" s="22">
        <f>SUMIF(Reservas!C:C,A693,Reservas!G:G)</f>
        <v>0</v>
      </c>
      <c r="C693" s="22">
        <f t="shared" si="3"/>
        <v>48</v>
      </c>
      <c r="D693" s="22">
        <f>SUMIF(Reservas!C:C,A693,Reservas!I:I)</f>
        <v>0</v>
      </c>
    </row>
    <row r="694">
      <c r="A694" s="21">
        <v>46684.0</v>
      </c>
      <c r="B694" s="22">
        <f>SUMIF(Reservas!C:C,A694,Reservas!G:G)</f>
        <v>0</v>
      </c>
      <c r="C694" s="22">
        <f t="shared" si="3"/>
        <v>48</v>
      </c>
      <c r="D694" s="22">
        <f>SUMIF(Reservas!C:C,A694,Reservas!I:I)</f>
        <v>0</v>
      </c>
    </row>
    <row r="695">
      <c r="A695" s="21">
        <v>46685.0</v>
      </c>
      <c r="B695" s="22">
        <f>SUMIF(Reservas!C:C,A695,Reservas!G:G)</f>
        <v>0</v>
      </c>
      <c r="C695" s="22">
        <f t="shared" si="3"/>
        <v>48</v>
      </c>
      <c r="D695" s="22">
        <f>SUMIF(Reservas!C:C,A695,Reservas!I:I)</f>
        <v>0</v>
      </c>
    </row>
    <row r="696">
      <c r="A696" s="21">
        <v>46686.0</v>
      </c>
      <c r="B696" s="22">
        <f>SUMIF(Reservas!C:C,A696,Reservas!G:G)</f>
        <v>0</v>
      </c>
      <c r="C696" s="22">
        <f t="shared" si="3"/>
        <v>48</v>
      </c>
      <c r="D696" s="22">
        <f>SUMIF(Reservas!C:C,A696,Reservas!I:I)</f>
        <v>0</v>
      </c>
    </row>
    <row r="697">
      <c r="A697" s="21">
        <v>46687.0</v>
      </c>
      <c r="B697" s="22">
        <f>SUMIF(Reservas!C:C,A697,Reservas!G:G)</f>
        <v>0</v>
      </c>
      <c r="C697" s="22">
        <f t="shared" si="3"/>
        <v>48</v>
      </c>
      <c r="D697" s="22">
        <f>SUMIF(Reservas!C:C,A697,Reservas!I:I)</f>
        <v>0</v>
      </c>
    </row>
    <row r="698">
      <c r="A698" s="21">
        <v>46688.0</v>
      </c>
      <c r="B698" s="22">
        <f>SUMIF(Reservas!C:C,A698,Reservas!G:G)</f>
        <v>0</v>
      </c>
      <c r="C698" s="22">
        <f t="shared" si="3"/>
        <v>48</v>
      </c>
      <c r="D698" s="22">
        <f>SUMIF(Reservas!C:C,A698,Reservas!I:I)</f>
        <v>0</v>
      </c>
    </row>
    <row r="699">
      <c r="A699" s="21">
        <v>46689.0</v>
      </c>
      <c r="B699" s="22">
        <f>SUMIF(Reservas!C:C,A699,Reservas!G:G)</f>
        <v>0</v>
      </c>
      <c r="C699" s="22">
        <f t="shared" si="3"/>
        <v>48</v>
      </c>
      <c r="D699" s="22">
        <f>SUMIF(Reservas!C:C,A699,Reservas!I:I)</f>
        <v>0</v>
      </c>
    </row>
    <row r="700">
      <c r="A700" s="21">
        <v>46690.0</v>
      </c>
      <c r="B700" s="22">
        <f>SUMIF(Reservas!C:C,A700,Reservas!G:G)</f>
        <v>0</v>
      </c>
      <c r="C700" s="22">
        <f t="shared" si="3"/>
        <v>48</v>
      </c>
      <c r="D700" s="22">
        <f>SUMIF(Reservas!C:C,A700,Reservas!I:I)</f>
        <v>0</v>
      </c>
    </row>
    <row r="701">
      <c r="A701" s="21">
        <v>46691.0</v>
      </c>
      <c r="B701" s="22">
        <f>SUMIF(Reservas!C:C,A701,Reservas!G:G)</f>
        <v>0</v>
      </c>
      <c r="C701" s="22">
        <f t="shared" si="3"/>
        <v>48</v>
      </c>
      <c r="D701" s="22">
        <f>SUMIF(Reservas!C:C,A701,Reservas!I:I)</f>
        <v>0</v>
      </c>
    </row>
    <row r="702">
      <c r="A702" s="21">
        <v>46692.0</v>
      </c>
      <c r="B702" s="22">
        <f>SUMIF(Reservas!C:C,A702,Reservas!G:G)</f>
        <v>0</v>
      </c>
      <c r="C702" s="22">
        <f t="shared" si="3"/>
        <v>48</v>
      </c>
      <c r="D702" s="22">
        <f>SUMIF(Reservas!C:C,A702,Reservas!I:I)</f>
        <v>0</v>
      </c>
    </row>
    <row r="703">
      <c r="A703" s="21">
        <v>46693.0</v>
      </c>
      <c r="B703" s="22">
        <f>SUMIF(Reservas!C:C,A703,Reservas!G:G)</f>
        <v>0</v>
      </c>
      <c r="C703" s="22">
        <f t="shared" si="3"/>
        <v>48</v>
      </c>
      <c r="D703" s="22">
        <f>SUMIF(Reservas!C:C,A703,Reservas!I:I)</f>
        <v>0</v>
      </c>
    </row>
    <row r="704">
      <c r="A704" s="21">
        <v>46694.0</v>
      </c>
      <c r="B704" s="22">
        <f>SUMIF(Reservas!C:C,A704,Reservas!G:G)</f>
        <v>0</v>
      </c>
      <c r="C704" s="22">
        <f t="shared" si="3"/>
        <v>48</v>
      </c>
      <c r="D704" s="22">
        <f>SUMIF(Reservas!C:C,A704,Reservas!I:I)</f>
        <v>0</v>
      </c>
    </row>
    <row r="705">
      <c r="A705" s="21">
        <v>46695.0</v>
      </c>
      <c r="B705" s="22">
        <f>SUMIF(Reservas!C:C,A705,Reservas!G:G)</f>
        <v>0</v>
      </c>
      <c r="C705" s="22">
        <f t="shared" si="3"/>
        <v>48</v>
      </c>
      <c r="D705" s="22">
        <f>SUMIF(Reservas!C:C,A705,Reservas!I:I)</f>
        <v>0</v>
      </c>
    </row>
    <row r="706">
      <c r="A706" s="21">
        <v>46696.0</v>
      </c>
      <c r="B706" s="22">
        <f>SUMIF(Reservas!C:C,A706,Reservas!G:G)</f>
        <v>0</v>
      </c>
      <c r="C706" s="22">
        <f t="shared" si="3"/>
        <v>48</v>
      </c>
      <c r="D706" s="22">
        <f>SUMIF(Reservas!C:C,A706,Reservas!I:I)</f>
        <v>0</v>
      </c>
    </row>
    <row r="707">
      <c r="A707" s="21">
        <v>46697.0</v>
      </c>
      <c r="B707" s="22">
        <f>SUMIF(Reservas!C:C,A707,Reservas!G:G)</f>
        <v>0</v>
      </c>
      <c r="C707" s="22">
        <f t="shared" si="3"/>
        <v>48</v>
      </c>
      <c r="D707" s="22">
        <f>SUMIF(Reservas!C:C,A707,Reservas!I:I)</f>
        <v>0</v>
      </c>
    </row>
    <row r="708">
      <c r="A708" s="21">
        <v>46698.0</v>
      </c>
      <c r="B708" s="22">
        <f>SUMIF(Reservas!C:C,A708,Reservas!G:G)</f>
        <v>0</v>
      </c>
      <c r="C708" s="22">
        <f t="shared" si="3"/>
        <v>48</v>
      </c>
      <c r="D708" s="22">
        <f>SUMIF(Reservas!C:C,A708,Reservas!I:I)</f>
        <v>0</v>
      </c>
    </row>
    <row r="709">
      <c r="A709" s="21">
        <v>46699.0</v>
      </c>
      <c r="B709" s="22">
        <f>SUMIF(Reservas!C:C,A709,Reservas!G:G)</f>
        <v>0</v>
      </c>
      <c r="C709" s="22">
        <f t="shared" si="3"/>
        <v>48</v>
      </c>
      <c r="D709" s="22">
        <f>SUMIF(Reservas!C:C,A709,Reservas!I:I)</f>
        <v>0</v>
      </c>
    </row>
    <row r="710">
      <c r="A710" s="21">
        <v>46700.0</v>
      </c>
      <c r="B710" s="22">
        <f>SUMIF(Reservas!C:C,A710,Reservas!G:G)</f>
        <v>0</v>
      </c>
      <c r="C710" s="22">
        <f t="shared" si="3"/>
        <v>48</v>
      </c>
      <c r="D710" s="22">
        <f>SUMIF(Reservas!C:C,A710,Reservas!I:I)</f>
        <v>0</v>
      </c>
    </row>
    <row r="711">
      <c r="A711" s="21">
        <v>46701.0</v>
      </c>
      <c r="B711" s="22">
        <f>SUMIF(Reservas!C:C,A711,Reservas!G:G)</f>
        <v>0</v>
      </c>
      <c r="C711" s="22">
        <f t="shared" si="3"/>
        <v>48</v>
      </c>
      <c r="D711" s="22">
        <f>SUMIF(Reservas!C:C,A711,Reservas!I:I)</f>
        <v>0</v>
      </c>
    </row>
    <row r="712">
      <c r="A712" s="21">
        <v>46702.0</v>
      </c>
      <c r="B712" s="22">
        <f>SUMIF(Reservas!C:C,A712,Reservas!G:G)</f>
        <v>0</v>
      </c>
      <c r="C712" s="22">
        <f t="shared" si="3"/>
        <v>48</v>
      </c>
      <c r="D712" s="22">
        <f>SUMIF(Reservas!C:C,A712,Reservas!I:I)</f>
        <v>0</v>
      </c>
    </row>
    <row r="713">
      <c r="A713" s="21">
        <v>46703.0</v>
      </c>
      <c r="B713" s="22">
        <f>SUMIF(Reservas!C:C,A713,Reservas!G:G)</f>
        <v>0</v>
      </c>
      <c r="C713" s="22">
        <f t="shared" si="3"/>
        <v>48</v>
      </c>
      <c r="D713" s="22">
        <f>SUMIF(Reservas!C:C,A713,Reservas!I:I)</f>
        <v>0</v>
      </c>
    </row>
    <row r="714">
      <c r="A714" s="21">
        <v>46704.0</v>
      </c>
      <c r="B714" s="22">
        <f>SUMIF(Reservas!C:C,A714,Reservas!G:G)</f>
        <v>0</v>
      </c>
      <c r="C714" s="22">
        <f t="shared" si="3"/>
        <v>48</v>
      </c>
      <c r="D714" s="22">
        <f>SUMIF(Reservas!C:C,A714,Reservas!I:I)</f>
        <v>0</v>
      </c>
    </row>
    <row r="715">
      <c r="A715" s="21">
        <v>46705.0</v>
      </c>
      <c r="B715" s="22">
        <f>SUMIF(Reservas!C:C,A715,Reservas!G:G)</f>
        <v>0</v>
      </c>
      <c r="C715" s="22">
        <f t="shared" si="3"/>
        <v>48</v>
      </c>
      <c r="D715" s="22">
        <f>SUMIF(Reservas!C:C,A715,Reservas!I:I)</f>
        <v>0</v>
      </c>
    </row>
    <row r="716">
      <c r="A716" s="21">
        <v>46706.0</v>
      </c>
      <c r="B716" s="22">
        <f>SUMIF(Reservas!C:C,A716,Reservas!G:G)</f>
        <v>0</v>
      </c>
      <c r="C716" s="22">
        <f t="shared" si="3"/>
        <v>48</v>
      </c>
      <c r="D716" s="22">
        <f>SUMIF(Reservas!C:C,A716,Reservas!I:I)</f>
        <v>0</v>
      </c>
    </row>
    <row r="717">
      <c r="A717" s="21">
        <v>46707.0</v>
      </c>
      <c r="B717" s="22">
        <f>SUMIF(Reservas!C:C,A717,Reservas!G:G)</f>
        <v>0</v>
      </c>
      <c r="C717" s="22">
        <f t="shared" si="3"/>
        <v>48</v>
      </c>
      <c r="D717" s="22">
        <f>SUMIF(Reservas!C:C,A717,Reservas!I:I)</f>
        <v>0</v>
      </c>
    </row>
    <row r="718">
      <c r="A718" s="21">
        <v>46708.0</v>
      </c>
      <c r="B718" s="22">
        <f>SUMIF(Reservas!C:C,A718,Reservas!G:G)</f>
        <v>0</v>
      </c>
      <c r="C718" s="22">
        <f t="shared" si="3"/>
        <v>48</v>
      </c>
      <c r="D718" s="22">
        <f>SUMIF(Reservas!C:C,A718,Reservas!I:I)</f>
        <v>0</v>
      </c>
    </row>
    <row r="719">
      <c r="A719" s="21">
        <v>46709.0</v>
      </c>
      <c r="B719" s="22">
        <f>SUMIF(Reservas!C:C,A719,Reservas!G:G)</f>
        <v>0</v>
      </c>
      <c r="C719" s="22">
        <f t="shared" si="3"/>
        <v>48</v>
      </c>
      <c r="D719" s="22">
        <f>SUMIF(Reservas!C:C,A719,Reservas!I:I)</f>
        <v>0</v>
      </c>
    </row>
    <row r="720">
      <c r="A720" s="21">
        <v>46710.0</v>
      </c>
      <c r="B720" s="22">
        <f>SUMIF(Reservas!C:C,A720,Reservas!G:G)</f>
        <v>0</v>
      </c>
      <c r="C720" s="22">
        <f t="shared" si="3"/>
        <v>48</v>
      </c>
      <c r="D720" s="22">
        <f>SUMIF(Reservas!C:C,A720,Reservas!I:I)</f>
        <v>0</v>
      </c>
    </row>
    <row r="721">
      <c r="A721" s="21">
        <v>46711.0</v>
      </c>
      <c r="B721" s="22">
        <f>SUMIF(Reservas!C:C,A721,Reservas!G:G)</f>
        <v>0</v>
      </c>
      <c r="C721" s="22">
        <f t="shared" si="3"/>
        <v>48</v>
      </c>
      <c r="D721" s="22">
        <f>SUMIF(Reservas!C:C,A721,Reservas!I:I)</f>
        <v>0</v>
      </c>
    </row>
    <row r="722">
      <c r="A722" s="21">
        <v>46712.0</v>
      </c>
      <c r="B722" s="22">
        <f>SUMIF(Reservas!C:C,A722,Reservas!G:G)</f>
        <v>0</v>
      </c>
      <c r="C722" s="22">
        <f t="shared" si="3"/>
        <v>48</v>
      </c>
      <c r="D722" s="22">
        <f>SUMIF(Reservas!C:C,A722,Reservas!I:I)</f>
        <v>0</v>
      </c>
    </row>
    <row r="723">
      <c r="A723" s="21">
        <v>46713.0</v>
      </c>
      <c r="B723" s="22">
        <f>SUMIF(Reservas!C:C,A723,Reservas!G:G)</f>
        <v>0</v>
      </c>
      <c r="C723" s="22">
        <f t="shared" si="3"/>
        <v>48</v>
      </c>
      <c r="D723" s="22">
        <f>SUMIF(Reservas!C:C,A723,Reservas!I:I)</f>
        <v>0</v>
      </c>
    </row>
    <row r="724">
      <c r="A724" s="21">
        <v>46714.0</v>
      </c>
      <c r="B724" s="22">
        <f>SUMIF(Reservas!C:C,A724,Reservas!G:G)</f>
        <v>0</v>
      </c>
      <c r="C724" s="22">
        <f t="shared" si="3"/>
        <v>48</v>
      </c>
      <c r="D724" s="22">
        <f>SUMIF(Reservas!C:C,A724,Reservas!I:I)</f>
        <v>0</v>
      </c>
    </row>
    <row r="725">
      <c r="A725" s="21">
        <v>46715.0</v>
      </c>
      <c r="B725" s="22">
        <f>SUMIF(Reservas!C:C,A725,Reservas!G:G)</f>
        <v>0</v>
      </c>
      <c r="C725" s="22">
        <f t="shared" si="3"/>
        <v>48</v>
      </c>
      <c r="D725" s="22">
        <f>SUMIF(Reservas!C:C,A725,Reservas!I:I)</f>
        <v>0</v>
      </c>
    </row>
    <row r="726">
      <c r="A726" s="21">
        <v>46716.0</v>
      </c>
      <c r="B726" s="22">
        <f>SUMIF(Reservas!C:C,A726,Reservas!G:G)</f>
        <v>0</v>
      </c>
      <c r="C726" s="22">
        <f t="shared" si="3"/>
        <v>48</v>
      </c>
      <c r="D726" s="22">
        <f>SUMIF(Reservas!C:C,A726,Reservas!I:I)</f>
        <v>0</v>
      </c>
    </row>
    <row r="727">
      <c r="A727" s="21">
        <v>46717.0</v>
      </c>
      <c r="B727" s="22">
        <f>SUMIF(Reservas!C:C,A727,Reservas!G:G)</f>
        <v>0</v>
      </c>
      <c r="C727" s="22">
        <f t="shared" si="3"/>
        <v>48</v>
      </c>
      <c r="D727" s="22">
        <f>SUMIF(Reservas!C:C,A727,Reservas!I:I)</f>
        <v>0</v>
      </c>
    </row>
    <row r="728">
      <c r="A728" s="21">
        <v>46718.0</v>
      </c>
      <c r="B728" s="22">
        <f>SUMIF(Reservas!C:C,A728,Reservas!G:G)</f>
        <v>0</v>
      </c>
      <c r="C728" s="22">
        <f t="shared" si="3"/>
        <v>48</v>
      </c>
      <c r="D728" s="22">
        <f>SUMIF(Reservas!C:C,A728,Reservas!I:I)</f>
        <v>0</v>
      </c>
    </row>
    <row r="729">
      <c r="A729" s="21">
        <v>46719.0</v>
      </c>
      <c r="B729" s="22">
        <f>SUMIF(Reservas!C:C,A729,Reservas!G:G)</f>
        <v>0</v>
      </c>
      <c r="C729" s="22">
        <f t="shared" si="3"/>
        <v>48</v>
      </c>
      <c r="D729" s="22">
        <f>SUMIF(Reservas!C:C,A729,Reservas!I:I)</f>
        <v>0</v>
      </c>
    </row>
    <row r="730">
      <c r="A730" s="21">
        <v>46720.0</v>
      </c>
      <c r="B730" s="22">
        <f>SUMIF(Reservas!C:C,A730,Reservas!G:G)</f>
        <v>0</v>
      </c>
      <c r="C730" s="22">
        <f t="shared" si="3"/>
        <v>48</v>
      </c>
      <c r="D730" s="22">
        <f>SUMIF(Reservas!C:C,A730,Reservas!I:I)</f>
        <v>0</v>
      </c>
    </row>
    <row r="731">
      <c r="A731" s="21">
        <v>46721.0</v>
      </c>
      <c r="B731" s="22">
        <f>SUMIF(Reservas!C:C,A731,Reservas!G:G)</f>
        <v>0</v>
      </c>
      <c r="C731" s="22">
        <f t="shared" si="3"/>
        <v>48</v>
      </c>
      <c r="D731" s="22">
        <f>SUMIF(Reservas!C:C,A731,Reservas!I:I)</f>
        <v>0</v>
      </c>
    </row>
    <row r="732">
      <c r="A732" s="21">
        <v>46722.0</v>
      </c>
      <c r="B732" s="22">
        <f>SUMIF(Reservas!C:C,A732,Reservas!G:G)</f>
        <v>0</v>
      </c>
      <c r="C732" s="22">
        <f t="shared" si="3"/>
        <v>48</v>
      </c>
      <c r="D732" s="22">
        <f>SUMIF(Reservas!C:C,A732,Reservas!I:I)</f>
        <v>0</v>
      </c>
    </row>
    <row r="733">
      <c r="A733" s="21">
        <v>46723.0</v>
      </c>
      <c r="B733" s="22">
        <f>SUMIF(Reservas!C:C,A733,Reservas!G:G)</f>
        <v>0</v>
      </c>
      <c r="C733" s="22">
        <f t="shared" si="3"/>
        <v>48</v>
      </c>
      <c r="D733" s="22">
        <f>SUMIF(Reservas!C:C,A733,Reservas!I:I)</f>
        <v>0</v>
      </c>
    </row>
    <row r="734">
      <c r="A734" s="21">
        <v>46724.0</v>
      </c>
      <c r="B734" s="22">
        <f>SUMIF(Reservas!C:C,A734,Reservas!G:G)</f>
        <v>0</v>
      </c>
      <c r="C734" s="22">
        <f t="shared" si="3"/>
        <v>48</v>
      </c>
      <c r="D734" s="22">
        <f>SUMIF(Reservas!C:C,A734,Reservas!I:I)</f>
        <v>0</v>
      </c>
    </row>
    <row r="735">
      <c r="A735" s="21">
        <v>46725.0</v>
      </c>
      <c r="B735" s="22">
        <f>SUMIF(Reservas!C:C,A735,Reservas!G:G)</f>
        <v>0</v>
      </c>
      <c r="C735" s="22">
        <f t="shared" si="3"/>
        <v>48</v>
      </c>
      <c r="D735" s="22">
        <f>SUMIF(Reservas!C:C,A735,Reservas!I:I)</f>
        <v>0</v>
      </c>
    </row>
    <row r="736">
      <c r="A736" s="21">
        <v>46726.0</v>
      </c>
      <c r="B736" s="22">
        <f>SUMIF(Reservas!C:C,A736,Reservas!G:G)</f>
        <v>0</v>
      </c>
      <c r="C736" s="22">
        <f t="shared" si="3"/>
        <v>48</v>
      </c>
      <c r="D736" s="22">
        <f>SUMIF(Reservas!C:C,A736,Reservas!I:I)</f>
        <v>0</v>
      </c>
    </row>
    <row r="737">
      <c r="A737" s="21">
        <v>46727.0</v>
      </c>
      <c r="B737" s="22">
        <f>SUMIF(Reservas!C:C,A737,Reservas!G:G)</f>
        <v>0</v>
      </c>
      <c r="C737" s="22">
        <f t="shared" si="3"/>
        <v>48</v>
      </c>
      <c r="D737" s="22">
        <f>SUMIF(Reservas!C:C,A737,Reservas!I:I)</f>
        <v>0</v>
      </c>
    </row>
    <row r="738">
      <c r="A738" s="21">
        <v>46728.0</v>
      </c>
      <c r="B738" s="22">
        <f>SUMIF(Reservas!C:C,A738,Reservas!G:G)</f>
        <v>0</v>
      </c>
      <c r="C738" s="22">
        <f t="shared" si="3"/>
        <v>48</v>
      </c>
      <c r="D738" s="22">
        <f>SUMIF(Reservas!C:C,A738,Reservas!I:I)</f>
        <v>0</v>
      </c>
    </row>
    <row r="739">
      <c r="A739" s="21">
        <v>46729.0</v>
      </c>
      <c r="B739" s="22">
        <f>SUMIF(Reservas!C:C,A739,Reservas!G:G)</f>
        <v>0</v>
      </c>
      <c r="C739" s="22">
        <f t="shared" si="3"/>
        <v>48</v>
      </c>
      <c r="D739" s="22">
        <f>SUMIF(Reservas!C:C,A739,Reservas!I:I)</f>
        <v>0</v>
      </c>
    </row>
    <row r="740">
      <c r="A740" s="21">
        <v>46730.0</v>
      </c>
      <c r="B740" s="22">
        <f>SUMIF(Reservas!C:C,A740,Reservas!G:G)</f>
        <v>0</v>
      </c>
      <c r="C740" s="22">
        <f t="shared" si="3"/>
        <v>48</v>
      </c>
      <c r="D740" s="22">
        <f>SUMIF(Reservas!C:C,A740,Reservas!I:I)</f>
        <v>0</v>
      </c>
    </row>
    <row r="741">
      <c r="A741" s="21">
        <v>46731.0</v>
      </c>
      <c r="B741" s="22">
        <f>SUMIF(Reservas!C:C,A741,Reservas!G:G)</f>
        <v>0</v>
      </c>
      <c r="C741" s="22">
        <f t="shared" si="3"/>
        <v>48</v>
      </c>
      <c r="D741" s="22">
        <f>SUMIF(Reservas!C:C,A741,Reservas!I:I)</f>
        <v>0</v>
      </c>
    </row>
    <row r="742">
      <c r="A742" s="21">
        <v>46732.0</v>
      </c>
      <c r="B742" s="22">
        <f>SUMIF(Reservas!C:C,A742,Reservas!G:G)</f>
        <v>0</v>
      </c>
      <c r="C742" s="22">
        <f t="shared" si="3"/>
        <v>48</v>
      </c>
      <c r="D742" s="22">
        <f>SUMIF(Reservas!C:C,A742,Reservas!I:I)</f>
        <v>0</v>
      </c>
    </row>
    <row r="743">
      <c r="A743" s="21">
        <v>46733.0</v>
      </c>
      <c r="B743" s="22">
        <f>SUMIF(Reservas!C:C,A743,Reservas!G:G)</f>
        <v>0</v>
      </c>
      <c r="C743" s="22">
        <f t="shared" si="3"/>
        <v>48</v>
      </c>
      <c r="D743" s="22">
        <f>SUMIF(Reservas!C:C,A743,Reservas!I:I)</f>
        <v>0</v>
      </c>
    </row>
    <row r="744">
      <c r="A744" s="21">
        <v>46734.0</v>
      </c>
      <c r="B744" s="22">
        <f>SUMIF(Reservas!C:C,A744,Reservas!G:G)</f>
        <v>0</v>
      </c>
      <c r="C744" s="22">
        <f t="shared" si="3"/>
        <v>48</v>
      </c>
      <c r="D744" s="22">
        <f>SUMIF(Reservas!C:C,A744,Reservas!I:I)</f>
        <v>0</v>
      </c>
    </row>
    <row r="745">
      <c r="A745" s="21">
        <v>46735.0</v>
      </c>
      <c r="B745" s="22">
        <f>SUMIF(Reservas!C:C,A745,Reservas!G:G)</f>
        <v>0</v>
      </c>
      <c r="C745" s="22">
        <f t="shared" si="3"/>
        <v>48</v>
      </c>
      <c r="D745" s="22">
        <f>SUMIF(Reservas!C:C,A745,Reservas!I:I)</f>
        <v>0</v>
      </c>
    </row>
    <row r="746">
      <c r="A746" s="21">
        <v>46736.0</v>
      </c>
      <c r="B746" s="22">
        <f>SUMIF(Reservas!C:C,A746,Reservas!G:G)</f>
        <v>0</v>
      </c>
      <c r="C746" s="22">
        <f t="shared" si="3"/>
        <v>48</v>
      </c>
      <c r="D746" s="22">
        <f>SUMIF(Reservas!C:C,A746,Reservas!I:I)</f>
        <v>0</v>
      </c>
    </row>
    <row r="747">
      <c r="A747" s="21">
        <v>46737.0</v>
      </c>
      <c r="B747" s="22">
        <f>SUMIF(Reservas!C:C,A747,Reservas!G:G)</f>
        <v>0</v>
      </c>
      <c r="C747" s="22">
        <f t="shared" si="3"/>
        <v>48</v>
      </c>
      <c r="D747" s="22">
        <f>SUMIF(Reservas!C:C,A747,Reservas!I:I)</f>
        <v>0</v>
      </c>
    </row>
    <row r="748">
      <c r="A748" s="21">
        <v>46738.0</v>
      </c>
      <c r="B748" s="22">
        <f>SUMIF(Reservas!C:C,A748,Reservas!G:G)</f>
        <v>0</v>
      </c>
      <c r="C748" s="22">
        <f t="shared" si="3"/>
        <v>48</v>
      </c>
      <c r="D748" s="22">
        <f>SUMIF(Reservas!C:C,A748,Reservas!I:I)</f>
        <v>0</v>
      </c>
    </row>
    <row r="749">
      <c r="A749" s="21">
        <v>46739.0</v>
      </c>
      <c r="B749" s="22">
        <f>SUMIF(Reservas!C:C,A749,Reservas!G:G)</f>
        <v>0</v>
      </c>
      <c r="C749" s="22">
        <f t="shared" si="3"/>
        <v>48</v>
      </c>
      <c r="D749" s="22">
        <f>SUMIF(Reservas!C:C,A749,Reservas!I:I)</f>
        <v>0</v>
      </c>
    </row>
    <row r="750">
      <c r="A750" s="21">
        <v>46740.0</v>
      </c>
      <c r="B750" s="22">
        <f>SUMIF(Reservas!C:C,A750,Reservas!G:G)</f>
        <v>0</v>
      </c>
      <c r="C750" s="22">
        <f t="shared" si="3"/>
        <v>48</v>
      </c>
      <c r="D750" s="22">
        <f>SUMIF(Reservas!C:C,A750,Reservas!I:I)</f>
        <v>0</v>
      </c>
    </row>
    <row r="751">
      <c r="A751" s="21">
        <v>46741.0</v>
      </c>
      <c r="B751" s="22">
        <f>SUMIF(Reservas!C:C,A751,Reservas!G:G)</f>
        <v>0</v>
      </c>
      <c r="C751" s="22">
        <f t="shared" si="3"/>
        <v>48</v>
      </c>
      <c r="D751" s="22">
        <f>SUMIF(Reservas!C:C,A751,Reservas!I:I)</f>
        <v>0</v>
      </c>
    </row>
    <row r="752">
      <c r="A752" s="21">
        <v>46742.0</v>
      </c>
      <c r="B752" s="22">
        <f>SUMIF(Reservas!C:C,A752,Reservas!G:G)</f>
        <v>0</v>
      </c>
      <c r="C752" s="22">
        <f t="shared" si="3"/>
        <v>48</v>
      </c>
      <c r="D752" s="22">
        <f>SUMIF(Reservas!C:C,A752,Reservas!I:I)</f>
        <v>0</v>
      </c>
    </row>
    <row r="753">
      <c r="A753" s="21">
        <v>46743.0</v>
      </c>
      <c r="B753" s="22">
        <f>SUMIF(Reservas!C:C,A753,Reservas!G:G)</f>
        <v>0</v>
      </c>
      <c r="C753" s="22">
        <f t="shared" si="3"/>
        <v>48</v>
      </c>
      <c r="D753" s="22">
        <f>SUMIF(Reservas!C:C,A753,Reservas!I:I)</f>
        <v>0</v>
      </c>
    </row>
    <row r="754">
      <c r="A754" s="21">
        <v>46744.0</v>
      </c>
      <c r="B754" s="22">
        <f>SUMIF(Reservas!C:C,A754,Reservas!G:G)</f>
        <v>0</v>
      </c>
      <c r="C754" s="22">
        <f t="shared" si="3"/>
        <v>48</v>
      </c>
      <c r="D754" s="22">
        <f>SUMIF(Reservas!C:C,A754,Reservas!I:I)</f>
        <v>0</v>
      </c>
    </row>
    <row r="755">
      <c r="A755" s="21">
        <v>46745.0</v>
      </c>
      <c r="B755" s="22">
        <f>SUMIF(Reservas!C:C,A755,Reservas!G:G)</f>
        <v>0</v>
      </c>
      <c r="C755" s="22">
        <f t="shared" si="3"/>
        <v>48</v>
      </c>
      <c r="D755" s="22">
        <f>SUMIF(Reservas!C:C,A755,Reservas!I:I)</f>
        <v>0</v>
      </c>
    </row>
    <row r="756">
      <c r="A756" s="21">
        <v>46746.0</v>
      </c>
      <c r="B756" s="22">
        <f>SUMIF(Reservas!C:C,A756,Reservas!G:G)</f>
        <v>0</v>
      </c>
      <c r="C756" s="22">
        <f t="shared" si="3"/>
        <v>48</v>
      </c>
      <c r="D756" s="22">
        <f>SUMIF(Reservas!C:C,A756,Reservas!I:I)</f>
        <v>0</v>
      </c>
    </row>
    <row r="757">
      <c r="A757" s="21">
        <v>46747.0</v>
      </c>
      <c r="B757" s="22">
        <f>SUMIF(Reservas!C:C,A757,Reservas!G:G)</f>
        <v>0</v>
      </c>
      <c r="C757" s="22">
        <f t="shared" si="3"/>
        <v>48</v>
      </c>
      <c r="D757" s="22">
        <f>SUMIF(Reservas!C:C,A757,Reservas!I:I)</f>
        <v>0</v>
      </c>
    </row>
    <row r="758">
      <c r="A758" s="21">
        <v>46748.0</v>
      </c>
      <c r="B758" s="22">
        <f>SUMIF(Reservas!C:C,A758,Reservas!G:G)</f>
        <v>0</v>
      </c>
      <c r="C758" s="22">
        <f t="shared" si="3"/>
        <v>48</v>
      </c>
      <c r="D758" s="22">
        <f>SUMIF(Reservas!C:C,A758,Reservas!I:I)</f>
        <v>0</v>
      </c>
    </row>
    <row r="759">
      <c r="A759" s="21">
        <v>46749.0</v>
      </c>
      <c r="B759" s="22">
        <f>SUMIF(Reservas!C:C,A759,Reservas!G:G)</f>
        <v>0</v>
      </c>
      <c r="C759" s="22">
        <f t="shared" si="3"/>
        <v>48</v>
      </c>
      <c r="D759" s="22">
        <f>SUMIF(Reservas!C:C,A759,Reservas!I:I)</f>
        <v>0</v>
      </c>
    </row>
    <row r="760">
      <c r="A760" s="21">
        <v>46750.0</v>
      </c>
      <c r="B760" s="22">
        <f>SUMIF(Reservas!C:C,A760,Reservas!G:G)</f>
        <v>0</v>
      </c>
      <c r="C760" s="22">
        <f t="shared" si="3"/>
        <v>48</v>
      </c>
      <c r="D760" s="22">
        <f>SUMIF(Reservas!C:C,A760,Reservas!I:I)</f>
        <v>0</v>
      </c>
    </row>
    <row r="761">
      <c r="A761" s="21">
        <v>46751.0</v>
      </c>
      <c r="B761" s="22">
        <f>SUMIF(Reservas!C:C,A761,Reservas!G:G)</f>
        <v>0</v>
      </c>
      <c r="C761" s="22">
        <f t="shared" si="3"/>
        <v>48</v>
      </c>
      <c r="D761" s="22">
        <f>SUMIF(Reservas!C:C,A761,Reservas!I:I)</f>
        <v>0</v>
      </c>
    </row>
    <row r="762">
      <c r="A762" s="21">
        <v>46752.0</v>
      </c>
      <c r="B762" s="22">
        <f>SUMIF(Reservas!C:C,A762,Reservas!G:G)</f>
        <v>0</v>
      </c>
      <c r="C762" s="22">
        <f t="shared" si="3"/>
        <v>48</v>
      </c>
      <c r="D762" s="22">
        <f>SUMIF(Reservas!C:C,A762,Reservas!I:I)</f>
        <v>0</v>
      </c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